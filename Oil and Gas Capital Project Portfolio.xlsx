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1c0db9d86bd366/Documents/"/>
    </mc:Choice>
  </mc:AlternateContent>
  <xr:revisionPtr revIDLastSave="446" documentId="8_{E27B7BE7-DB75-42E2-8149-831BB4BAD60A}" xr6:coauthVersionLast="47" xr6:coauthVersionMax="47" xr10:uidLastSave="{DA60CB95-2394-4D5B-B1E0-AD28DE5F5F58}"/>
  <bookViews>
    <workbookView xWindow="-120" yWindow="-120" windowWidth="29040" windowHeight="15720" activeTab="2" xr2:uid="{989218EB-90F3-4AF1-9350-6468AC493F39}"/>
  </bookViews>
  <sheets>
    <sheet name="Data" sheetId="3" r:id="rId1"/>
    <sheet name="Pivots" sheetId="5" r:id="rId2"/>
    <sheet name="Dashboard" sheetId="1" r:id="rId3"/>
  </sheets>
  <definedNames>
    <definedName name="ExternalData_1" localSheetId="0" hidden="1">Data!$A$1:$W$51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5" i="1" s="1"/>
  <c r="B16" i="1"/>
  <c r="F16" i="1" s="1"/>
  <c r="B17" i="1"/>
  <c r="C17" i="1" s="1"/>
  <c r="B18" i="1"/>
  <c r="D18" i="1" s="1"/>
  <c r="I14" i="1"/>
  <c r="G14" i="1"/>
  <c r="H14" i="1"/>
  <c r="F14" i="1"/>
  <c r="E14" i="1"/>
  <c r="D14" i="1"/>
  <c r="C14" i="1"/>
  <c r="B14" i="1"/>
  <c r="H10" i="1"/>
  <c r="F10" i="1"/>
  <c r="D10" i="1"/>
  <c r="B10" i="1"/>
  <c r="H7" i="1"/>
  <c r="F7" i="1"/>
  <c r="D7" i="1"/>
  <c r="B7" i="1"/>
  <c r="X2" i="3" a="1"/>
  <c r="X2" i="3" s="1"/>
  <c r="X3" i="3" a="1"/>
  <c r="X3" i="3" s="1"/>
  <c r="X4" i="3" a="1"/>
  <c r="X4" i="3" s="1"/>
  <c r="X5" i="3" a="1"/>
  <c r="X5" i="3" s="1"/>
  <c r="X6" i="3" a="1"/>
  <c r="X6" i="3" s="1"/>
  <c r="X7" i="3" a="1"/>
  <c r="X7" i="3" s="1"/>
  <c r="X8" i="3" a="1"/>
  <c r="X8" i="3" s="1"/>
  <c r="X9" i="3" a="1"/>
  <c r="X9" i="3" s="1"/>
  <c r="X10" i="3" a="1"/>
  <c r="X10" i="3" s="1"/>
  <c r="X11" i="3" a="1"/>
  <c r="X11" i="3" s="1"/>
  <c r="X12" i="3" a="1"/>
  <c r="X12" i="3" s="1"/>
  <c r="X13" i="3" a="1"/>
  <c r="X13" i="3" s="1"/>
  <c r="X14" i="3" a="1"/>
  <c r="X14" i="3" s="1"/>
  <c r="X15" i="3" a="1"/>
  <c r="X15" i="3" s="1"/>
  <c r="X16" i="3" a="1"/>
  <c r="X16" i="3" s="1"/>
  <c r="X17" i="3" a="1"/>
  <c r="X17" i="3" s="1"/>
  <c r="X18" i="3" a="1"/>
  <c r="X18" i="3" s="1"/>
  <c r="X19" i="3" a="1"/>
  <c r="X19" i="3" s="1"/>
  <c r="X20" i="3" a="1"/>
  <c r="X20" i="3" s="1"/>
  <c r="X21" i="3" a="1"/>
  <c r="X21" i="3" s="1"/>
  <c r="X22" i="3" a="1"/>
  <c r="X22" i="3" s="1"/>
  <c r="X23" i="3" a="1"/>
  <c r="X23" i="3" s="1"/>
  <c r="X24" i="3" a="1"/>
  <c r="X24" i="3" s="1"/>
  <c r="X25" i="3" a="1"/>
  <c r="X25" i="3" s="1"/>
  <c r="X26" i="3" a="1"/>
  <c r="X26" i="3" s="1"/>
  <c r="X27" i="3" a="1"/>
  <c r="X27" i="3" s="1"/>
  <c r="X28" i="3" a="1"/>
  <c r="X28" i="3" s="1"/>
  <c r="X29" i="3" a="1"/>
  <c r="X29" i="3" s="1"/>
  <c r="X30" i="3" a="1"/>
  <c r="X30" i="3" s="1"/>
  <c r="X31" i="3" a="1"/>
  <c r="X31" i="3" s="1"/>
  <c r="X32" i="3" a="1"/>
  <c r="X32" i="3" s="1"/>
  <c r="X33" i="3" a="1"/>
  <c r="X33" i="3" s="1"/>
  <c r="X34" i="3" a="1"/>
  <c r="X34" i="3" s="1"/>
  <c r="X35" i="3" a="1"/>
  <c r="X35" i="3" s="1"/>
  <c r="X36" i="3" a="1"/>
  <c r="X36" i="3" s="1"/>
  <c r="X37" i="3" a="1"/>
  <c r="X37" i="3" s="1"/>
  <c r="X38" i="3" a="1"/>
  <c r="X38" i="3" s="1"/>
  <c r="X39" i="3" a="1"/>
  <c r="X39" i="3" s="1"/>
  <c r="X40" i="3" a="1"/>
  <c r="X40" i="3" s="1"/>
  <c r="X41" i="3" a="1"/>
  <c r="X41" i="3" s="1"/>
  <c r="X42" i="3" a="1"/>
  <c r="X42" i="3" s="1"/>
  <c r="X43" i="3" a="1"/>
  <c r="X43" i="3" s="1"/>
  <c r="X44" i="3" a="1"/>
  <c r="X44" i="3" s="1"/>
  <c r="X45" i="3" a="1"/>
  <c r="X45" i="3" s="1"/>
  <c r="X46" i="3" a="1"/>
  <c r="X46" i="3" s="1"/>
  <c r="X47" i="3" a="1"/>
  <c r="X47" i="3" s="1"/>
  <c r="X48" i="3" a="1"/>
  <c r="X48" i="3" s="1"/>
  <c r="X49" i="3" a="1"/>
  <c r="X49" i="3" s="1"/>
  <c r="X50" i="3" a="1"/>
  <c r="X50" i="3" s="1"/>
  <c r="X51" i="3" a="1"/>
  <c r="X51" i="3" s="1"/>
  <c r="Y2" i="3" a="1"/>
  <c r="Y2" i="3" s="1"/>
  <c r="Y3" i="3" a="1"/>
  <c r="Y3" i="3" s="1"/>
  <c r="Y4" i="3" a="1"/>
  <c r="Y4" i="3" s="1"/>
  <c r="Y5" i="3" a="1"/>
  <c r="Y5" i="3" s="1"/>
  <c r="Y6" i="3" a="1"/>
  <c r="Y6" i="3" s="1"/>
  <c r="Y7" i="3" a="1"/>
  <c r="Y7" i="3" s="1"/>
  <c r="Y8" i="3" a="1"/>
  <c r="Y8" i="3" s="1"/>
  <c r="Y9" i="3" a="1"/>
  <c r="Y9" i="3" s="1"/>
  <c r="Y10" i="3" a="1"/>
  <c r="Y10" i="3" s="1"/>
  <c r="Y11" i="3" a="1"/>
  <c r="Y11" i="3" s="1"/>
  <c r="Y12" i="3" a="1"/>
  <c r="Y12" i="3" s="1"/>
  <c r="Y13" i="3" a="1"/>
  <c r="Y13" i="3" s="1"/>
  <c r="Y14" i="3" a="1"/>
  <c r="Y14" i="3" s="1"/>
  <c r="Y15" i="3" a="1"/>
  <c r="Y15" i="3" s="1"/>
  <c r="Y16" i="3" a="1"/>
  <c r="Y16" i="3" s="1"/>
  <c r="Y17" i="3" a="1"/>
  <c r="Y17" i="3" s="1"/>
  <c r="Y18" i="3" a="1"/>
  <c r="Y18" i="3" s="1"/>
  <c r="Y19" i="3" a="1"/>
  <c r="Y19" i="3" s="1"/>
  <c r="Y20" i="3" a="1"/>
  <c r="Y20" i="3" s="1"/>
  <c r="Y21" i="3" a="1"/>
  <c r="Y21" i="3" s="1"/>
  <c r="Y22" i="3" a="1"/>
  <c r="Y22" i="3" s="1"/>
  <c r="Y23" i="3" a="1"/>
  <c r="Y23" i="3" s="1"/>
  <c r="Y24" i="3" a="1"/>
  <c r="Y24" i="3" s="1"/>
  <c r="Y25" i="3" a="1"/>
  <c r="Y25" i="3" s="1"/>
  <c r="Y26" i="3" a="1"/>
  <c r="Y26" i="3" s="1"/>
  <c r="Y27" i="3" a="1"/>
  <c r="Y27" i="3" s="1"/>
  <c r="Y28" i="3" a="1"/>
  <c r="Y28" i="3" s="1"/>
  <c r="Y29" i="3" a="1"/>
  <c r="Y29" i="3" s="1"/>
  <c r="Y30" i="3" a="1"/>
  <c r="Y30" i="3" s="1"/>
  <c r="Y31" i="3" a="1"/>
  <c r="Y31" i="3" s="1"/>
  <c r="Y32" i="3" a="1"/>
  <c r="Y32" i="3" s="1"/>
  <c r="Y33" i="3" a="1"/>
  <c r="Y33" i="3" s="1"/>
  <c r="Y34" i="3" a="1"/>
  <c r="Y34" i="3" s="1"/>
  <c r="Y35" i="3" a="1"/>
  <c r="Y35" i="3" s="1"/>
  <c r="Y36" i="3" a="1"/>
  <c r="Y36" i="3" s="1"/>
  <c r="Y37" i="3" a="1"/>
  <c r="Y37" i="3" s="1"/>
  <c r="Y38" i="3" a="1"/>
  <c r="Y38" i="3" s="1"/>
  <c r="Y39" i="3" a="1"/>
  <c r="Y39" i="3" s="1"/>
  <c r="Y40" i="3" a="1"/>
  <c r="Y40" i="3" s="1"/>
  <c r="Y41" i="3" a="1"/>
  <c r="Y41" i="3" s="1"/>
  <c r="Y42" i="3" a="1"/>
  <c r="Y42" i="3" s="1"/>
  <c r="Y43" i="3" a="1"/>
  <c r="Y43" i="3" s="1"/>
  <c r="Y44" i="3" a="1"/>
  <c r="Y44" i="3" s="1"/>
  <c r="Y45" i="3" a="1"/>
  <c r="Y45" i="3" s="1"/>
  <c r="Y46" i="3" a="1"/>
  <c r="Y46" i="3" s="1"/>
  <c r="Y47" i="3" a="1"/>
  <c r="Y47" i="3" s="1"/>
  <c r="Y48" i="3" a="1"/>
  <c r="Y48" i="3" s="1"/>
  <c r="Y49" i="3" a="1"/>
  <c r="Y49" i="3" s="1"/>
  <c r="Y50" i="3" a="1"/>
  <c r="Y50" i="3" s="1"/>
  <c r="Y51" i="3" a="1"/>
  <c r="Y51" i="3" s="1"/>
  <c r="Z2" i="3" a="1"/>
  <c r="Z2" i="3" s="1"/>
  <c r="Z3" i="3" a="1"/>
  <c r="Z3" i="3" s="1"/>
  <c r="Z4" i="3" a="1"/>
  <c r="Z4" i="3" s="1"/>
  <c r="Z5" i="3" a="1"/>
  <c r="Z5" i="3" s="1"/>
  <c r="Z6" i="3" a="1"/>
  <c r="Z6" i="3" s="1"/>
  <c r="Z7" i="3" a="1"/>
  <c r="Z7" i="3" s="1"/>
  <c r="Z8" i="3" a="1"/>
  <c r="Z8" i="3" s="1"/>
  <c r="Z9" i="3" a="1"/>
  <c r="Z9" i="3" s="1"/>
  <c r="Z10" i="3" a="1"/>
  <c r="Z10" i="3" s="1"/>
  <c r="Z11" i="3" a="1"/>
  <c r="Z11" i="3" s="1"/>
  <c r="Z12" i="3" a="1"/>
  <c r="Z12" i="3" s="1"/>
  <c r="Z13" i="3" a="1"/>
  <c r="Z13" i="3" s="1"/>
  <c r="Z14" i="3" a="1"/>
  <c r="Z14" i="3" s="1"/>
  <c r="Z15" i="3" a="1"/>
  <c r="Z15" i="3" s="1"/>
  <c r="Z16" i="3" a="1"/>
  <c r="Z16" i="3" s="1"/>
  <c r="Z17" i="3" a="1"/>
  <c r="Z17" i="3" s="1"/>
  <c r="Z18" i="3" a="1"/>
  <c r="Z18" i="3" s="1"/>
  <c r="Z19" i="3" a="1"/>
  <c r="Z19" i="3" s="1"/>
  <c r="Z20" i="3" a="1"/>
  <c r="Z20" i="3" s="1"/>
  <c r="Z21" i="3" a="1"/>
  <c r="Z21" i="3" s="1"/>
  <c r="Z22" i="3" a="1"/>
  <c r="Z22" i="3" s="1"/>
  <c r="Z23" i="3" a="1"/>
  <c r="Z23" i="3" s="1"/>
  <c r="Z24" i="3" a="1"/>
  <c r="Z24" i="3" s="1"/>
  <c r="Z25" i="3" a="1"/>
  <c r="Z25" i="3" s="1"/>
  <c r="Z26" i="3" a="1"/>
  <c r="Z26" i="3" s="1"/>
  <c r="Z27" i="3" a="1"/>
  <c r="Z27" i="3" s="1"/>
  <c r="Z28" i="3" a="1"/>
  <c r="Z28" i="3" s="1"/>
  <c r="Z29" i="3" a="1"/>
  <c r="Z29" i="3" s="1"/>
  <c r="Z30" i="3" a="1"/>
  <c r="Z30" i="3" s="1"/>
  <c r="Z31" i="3" a="1"/>
  <c r="Z31" i="3" s="1"/>
  <c r="Z32" i="3" a="1"/>
  <c r="Z32" i="3" s="1"/>
  <c r="Z33" i="3" a="1"/>
  <c r="Z33" i="3" s="1"/>
  <c r="Z34" i="3" a="1"/>
  <c r="Z34" i="3" s="1"/>
  <c r="Z35" i="3" a="1"/>
  <c r="Z35" i="3" s="1"/>
  <c r="Z36" i="3" a="1"/>
  <c r="Z36" i="3" s="1"/>
  <c r="Z37" i="3" a="1"/>
  <c r="Z37" i="3" s="1"/>
  <c r="Z38" i="3" a="1"/>
  <c r="Z38" i="3" s="1"/>
  <c r="Z39" i="3" a="1"/>
  <c r="Z39" i="3" s="1"/>
  <c r="Z40" i="3" a="1"/>
  <c r="Z40" i="3" s="1"/>
  <c r="Z41" i="3" a="1"/>
  <c r="Z41" i="3" s="1"/>
  <c r="Z42" i="3" a="1"/>
  <c r="Z42" i="3" s="1"/>
  <c r="Z43" i="3" a="1"/>
  <c r="Z43" i="3" s="1"/>
  <c r="Z44" i="3" a="1"/>
  <c r="Z44" i="3" s="1"/>
  <c r="Z45" i="3" a="1"/>
  <c r="Z45" i="3" s="1"/>
  <c r="Z46" i="3" a="1"/>
  <c r="Z46" i="3" s="1"/>
  <c r="Z47" i="3" a="1"/>
  <c r="Z47" i="3" s="1"/>
  <c r="Z48" i="3" a="1"/>
  <c r="Z48" i="3" s="1"/>
  <c r="Z49" i="3" a="1"/>
  <c r="Z49" i="3" s="1"/>
  <c r="Z50" i="3" a="1"/>
  <c r="Z50" i="3" s="1"/>
  <c r="Z51" i="3" a="1"/>
  <c r="Z51" i="3" s="1"/>
  <c r="D16" i="1" l="1"/>
  <c r="H18" i="1"/>
  <c r="C16" i="1"/>
  <c r="I16" i="1"/>
  <c r="I17" i="1"/>
  <c r="I15" i="1"/>
  <c r="G16" i="1"/>
  <c r="H15" i="1"/>
  <c r="G18" i="1"/>
  <c r="E18" i="1"/>
  <c r="G17" i="1"/>
  <c r="G15" i="1"/>
  <c r="F17" i="1"/>
  <c r="F15" i="1"/>
  <c r="E16" i="1"/>
  <c r="C18" i="1"/>
  <c r="H17" i="1"/>
  <c r="E17" i="1"/>
  <c r="E15" i="1"/>
  <c r="H16" i="1"/>
  <c r="D17" i="1"/>
  <c r="D15" i="1"/>
  <c r="I18" i="1"/>
  <c r="F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686222-1787-42DE-B9FE-F01CF0B5D577}" keepAlive="1" name="Query - ProjectData" description="Connection to the 'ProjectData' query in the workbook." type="5" refreshedVersion="8" background="1" saveData="1">
    <dbPr connection="Provider=Microsoft.Mashup.OleDb.1;Data Source=$Workbook$;Location=ProjectData;Extended Properties=&quot;&quot;" command="SELECT * FROM [Project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<sst xmlns="http://schemas.openxmlformats.org/spreadsheetml/2006/main" count="460" uniqueCount="191">
  <si>
    <t>Project_ID</t>
  </si>
  <si>
    <t>Project_Name</t>
  </si>
  <si>
    <t>Project_Type</t>
  </si>
  <si>
    <t>Region</t>
  </si>
  <si>
    <t>Operator</t>
  </si>
  <si>
    <t>Subcontractor</t>
  </si>
  <si>
    <t>Status</t>
  </si>
  <si>
    <t>Budgeted_Cost</t>
  </si>
  <si>
    <t>Actual_Cost</t>
  </si>
  <si>
    <t>Phase_Planning</t>
  </si>
  <si>
    <t>Phase_Drilling_Construction</t>
  </si>
  <si>
    <t>Phase_Completion</t>
  </si>
  <si>
    <t>Phase_Closeout</t>
  </si>
  <si>
    <t>Planned_Start</t>
  </si>
  <si>
    <t>Planned_End</t>
  </si>
  <si>
    <t>Actual_End</t>
  </si>
  <si>
    <t>Schedule_Variance_Days</t>
  </si>
  <si>
    <t>Change_Order_Count</t>
  </si>
  <si>
    <t>Change_Order_Cost</t>
  </si>
  <si>
    <t>Cost_Variance</t>
  </si>
  <si>
    <t>Cost_Variance_Pct</t>
  </si>
  <si>
    <t>Change_Order_Budget_Impact_Pct</t>
  </si>
  <si>
    <t>On_Time</t>
  </si>
  <si>
    <t>OG-1000</t>
  </si>
  <si>
    <t>Well Drilling</t>
  </si>
  <si>
    <t>Permian Basin</t>
  </si>
  <si>
    <t>Completed</t>
  </si>
  <si>
    <t>Yes</t>
  </si>
  <si>
    <t>OG-1001</t>
  </si>
  <si>
    <t>Active</t>
  </si>
  <si>
    <t>No</t>
  </si>
  <si>
    <t>OG-1002</t>
  </si>
  <si>
    <t>Eagle Ford</t>
  </si>
  <si>
    <t>Delayed</t>
  </si>
  <si>
    <t>OG-1003</t>
  </si>
  <si>
    <t>Pipeline Construction</t>
  </si>
  <si>
    <t>OG-1004</t>
  </si>
  <si>
    <t>Facility Upgrade</t>
  </si>
  <si>
    <t>OG-1005</t>
  </si>
  <si>
    <t>OG-1006</t>
  </si>
  <si>
    <t>Midland</t>
  </si>
  <si>
    <t>OG-1007</t>
  </si>
  <si>
    <t>OG-1008</t>
  </si>
  <si>
    <t>OG-1009</t>
  </si>
  <si>
    <t>OG-1010</t>
  </si>
  <si>
    <t>OG-1011</t>
  </si>
  <si>
    <t>OG-1012</t>
  </si>
  <si>
    <t>OG-1013</t>
  </si>
  <si>
    <t>OG-1014</t>
  </si>
  <si>
    <t>OG-1015</t>
  </si>
  <si>
    <t>OG-1016</t>
  </si>
  <si>
    <t>OG-1017</t>
  </si>
  <si>
    <t>OG-1018</t>
  </si>
  <si>
    <t>OG-1019</t>
  </si>
  <si>
    <t>OG-1020</t>
  </si>
  <si>
    <t>OG-1021</t>
  </si>
  <si>
    <t>OG-1022</t>
  </si>
  <si>
    <t>OG-1023</t>
  </si>
  <si>
    <t>OG-1024</t>
  </si>
  <si>
    <t>OG-1025</t>
  </si>
  <si>
    <t>OG-1026</t>
  </si>
  <si>
    <t>Gulf Coast Pipeline Construction 27</t>
  </si>
  <si>
    <t>Gulf Coast</t>
  </si>
  <si>
    <t>OG-1027</t>
  </si>
  <si>
    <t>OG-1028</t>
  </si>
  <si>
    <t>OG-1029</t>
  </si>
  <si>
    <t>OG-1030</t>
  </si>
  <si>
    <t>OG-1031</t>
  </si>
  <si>
    <t>OG-1032</t>
  </si>
  <si>
    <t>OG-1033</t>
  </si>
  <si>
    <t>OG-1034</t>
  </si>
  <si>
    <t>OG-1035</t>
  </si>
  <si>
    <t>OG-1036</t>
  </si>
  <si>
    <t>OG-1037</t>
  </si>
  <si>
    <t>OG-1038</t>
  </si>
  <si>
    <t>Gulf Coast Well Drilling 39</t>
  </si>
  <si>
    <t>OG-1039</t>
  </si>
  <si>
    <t>OG-1040</t>
  </si>
  <si>
    <t>OG-1041</t>
  </si>
  <si>
    <t>OG-1042</t>
  </si>
  <si>
    <t>OG-1043</t>
  </si>
  <si>
    <t>OG-1044</t>
  </si>
  <si>
    <t>OG-1045</t>
  </si>
  <si>
    <t>OG-1046</t>
  </si>
  <si>
    <t>OG-1047</t>
  </si>
  <si>
    <t>OG-1048</t>
  </si>
  <si>
    <t>OG-1049</t>
  </si>
  <si>
    <t>Risk_Flag</t>
  </si>
  <si>
    <t>Budget_Health</t>
  </si>
  <si>
    <t>Change_Order_Risk</t>
  </si>
  <si>
    <t>Permian Basin Maintenance Turnaround 2</t>
  </si>
  <si>
    <t>Maintenance Turnaround</t>
  </si>
  <si>
    <t>Over Budget</t>
  </si>
  <si>
    <t>Eagle Ford Maintenance Turnaround 24</t>
  </si>
  <si>
    <t>Permian Basin Maintenance Turnaround 32</t>
  </si>
  <si>
    <t>Midland Maintenance Turnaround 1</t>
  </si>
  <si>
    <t>Eagle Ford Pipeline Construction 3</t>
  </si>
  <si>
    <t>Midland Facility Upgrade 4</t>
  </si>
  <si>
    <t>Midland Pipeline Construction 5</t>
  </si>
  <si>
    <t>Eagle Ford Pipeline Construction 6</t>
  </si>
  <si>
    <t>Permian Basin Maintenance Turnaround 7</t>
  </si>
  <si>
    <t>Eagle Ford Well Drilling 8</t>
  </si>
  <si>
    <t>Eagle Ford Pipeline Construction 9</t>
  </si>
  <si>
    <t>Midland Pipeline Construction 10</t>
  </si>
  <si>
    <t>Gulf Coast Well Drilling 11</t>
  </si>
  <si>
    <t>Midland Pipeline Construction 12</t>
  </si>
  <si>
    <t>Eagle Ford Well Drilling 13</t>
  </si>
  <si>
    <t>Gulf Coast Well Drilling 14</t>
  </si>
  <si>
    <t>Gulf Coast Maintenance Turnaround 15</t>
  </si>
  <si>
    <t>Midland Facility Upgrade 16</t>
  </si>
  <si>
    <t>Permian Basin Facility Upgrade 17</t>
  </si>
  <si>
    <t>Midland Pipeline Construction 18</t>
  </si>
  <si>
    <t>Eagle Ford Facility Upgrade 19</t>
  </si>
  <si>
    <t>Eagle Ford Facility Upgrade 20</t>
  </si>
  <si>
    <t>Gulf Coast Facility Upgrade 21</t>
  </si>
  <si>
    <t>Eagle Ford Maintenance Turnaround 22</t>
  </si>
  <si>
    <t>Gulf Coast Pipeline Construction 23</t>
  </si>
  <si>
    <t>Gulf Coast Well Drilling 25</t>
  </si>
  <si>
    <t>Eagle Ford Facility Upgrade 26</t>
  </si>
  <si>
    <t>Eagle Ford Maintenance Turnaround 28</t>
  </si>
  <si>
    <t>Gulf Coast Pipeline Construction 29</t>
  </si>
  <si>
    <t>Permian Basin Well Drilling 30</t>
  </si>
  <si>
    <t>Gulf Coast Pipeline Construction 31</t>
  </si>
  <si>
    <t>Midland Pipeline Construction 33</t>
  </si>
  <si>
    <t>Eagle Ford Pipeline Construction 34</t>
  </si>
  <si>
    <t>Permian Basin Well Drilling 35</t>
  </si>
  <si>
    <t>Eagle Ford Facility Upgrade 36</t>
  </si>
  <si>
    <t>Eagle Ford Pipeline Construction 37</t>
  </si>
  <si>
    <t>Midland Well Drilling 38</t>
  </si>
  <si>
    <t>Midland Maintenance Turnaround 40</t>
  </si>
  <si>
    <t>Gulf Coast Well Drilling 41</t>
  </si>
  <si>
    <t>Eagle Ford Pipeline Construction 42</t>
  </si>
  <si>
    <t>Eagle Ford Well Drilling 43</t>
  </si>
  <si>
    <t>Gulf Coast Facility Upgrade 44</t>
  </si>
  <si>
    <t>Permian Basin Maintenance Turnaround 45</t>
  </si>
  <si>
    <t>Eagle Ford Facility Upgrade 46</t>
  </si>
  <si>
    <t>Eagle Ford Facility Upgrade 47</t>
  </si>
  <si>
    <t>Gulf Coast Well Drilling 48</t>
  </si>
  <si>
    <t>Eagle Ford Well Drilling 49</t>
  </si>
  <si>
    <t>Permian Basin Maintenance Turnaround 50</t>
  </si>
  <si>
    <t>Oil and Gas Capital Project Portfolio</t>
  </si>
  <si>
    <t>Total Budget</t>
  </si>
  <si>
    <t>Total Actual Cost</t>
  </si>
  <si>
    <t>Cost Variance</t>
  </si>
  <si>
    <t>On-Time Rate</t>
  </si>
  <si>
    <t>Filter by Region:</t>
  </si>
  <si>
    <t>Projects in Region</t>
  </si>
  <si>
    <t>Region Budget</t>
  </si>
  <si>
    <t>Region Actual Cost</t>
  </si>
  <si>
    <t>Region On-Time Rate</t>
  </si>
  <si>
    <t>Project ID</t>
  </si>
  <si>
    <t>Project Name</t>
  </si>
  <si>
    <t>Project Type</t>
  </si>
  <si>
    <t>Budgeted Cost</t>
  </si>
  <si>
    <t>Actual Cost</t>
  </si>
  <si>
    <t>Cost Variance %</t>
  </si>
  <si>
    <t>Top 5 Over-Budget Projects</t>
  </si>
  <si>
    <t>Row Labels</t>
  </si>
  <si>
    <t>Grand Total</t>
  </si>
  <si>
    <t>Average of Cost_Variance_Pct</t>
  </si>
  <si>
    <t>Average of Schedule_Variance_Days</t>
  </si>
  <si>
    <t>Smith LLC Energy</t>
  </si>
  <si>
    <t>Freeman, Barnes and Gonzalez Energy</t>
  </si>
  <si>
    <t>Powell and Sons Services</t>
  </si>
  <si>
    <t>Silva PLC Energy</t>
  </si>
  <si>
    <t>Ellis-Wheeler Services</t>
  </si>
  <si>
    <t>Williams and Sons Energy</t>
  </si>
  <si>
    <t>Cannon LLC Services</t>
  </si>
  <si>
    <t>Moreno, Walker and Robinson Energy</t>
  </si>
  <si>
    <t>Grimes LLC Services</t>
  </si>
  <si>
    <t>Nelson, Miller and Johnson Services</t>
  </si>
  <si>
    <t>Miller Inc Services</t>
  </si>
  <si>
    <t>Hale, Garrett and Lee Energy</t>
  </si>
  <si>
    <t>Pierce-Mendoza Services</t>
  </si>
  <si>
    <t>Jones Ltd Services</t>
  </si>
  <si>
    <t>Jacobs, Hood and Taylor Services</t>
  </si>
  <si>
    <t>Harris, Lynn and Aguilar Services</t>
  </si>
  <si>
    <t>Callahan-Morris Energy</t>
  </si>
  <si>
    <t>Bautista-Caldwell Services</t>
  </si>
  <si>
    <t>Williams, Beard and Madden Services</t>
  </si>
  <si>
    <t>Garcia, Wright and Graham Services</t>
  </si>
  <si>
    <t>Munoz PLC Energy</t>
  </si>
  <si>
    <t>Mendoza-Wagner Services</t>
  </si>
  <si>
    <t>Williams PLC Energy</t>
  </si>
  <si>
    <t>Weaver, Hill and Bowers Energy</t>
  </si>
  <si>
    <t>Acosta, Graham and Odonnell Services</t>
  </si>
  <si>
    <t>Ramirez PLC Services</t>
  </si>
  <si>
    <t>Daniel-Duarte Services</t>
  </si>
  <si>
    <t>Rodriguez, King and Wolfe Services</t>
  </si>
  <si>
    <t>Shaw, Cabrera and Perry Services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</si>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</sst>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2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13" xfId="0" applyFont="1" applyFill="1" applyBorder="1"/>
    <xf numFmtId="0" fontId="1" fillId="4" borderId="14" xfId="0" applyFont="1" applyFill="1" applyBorder="1"/>
    <xf numFmtId="0" fontId="0" fillId="0" borderId="0" xfId="0" applyNumberFormat="1"/>
    <xf numFmtId="0" fontId="2" fillId="0" borderId="0" xfId="0" applyFont="1"/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/>
    <xf numFmtId="0" fontId="5" fillId="3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4" fontId="6" fillId="5" borderId="4" xfId="0" applyNumberFormat="1" applyFon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0" fontId="6" fillId="5" borderId="4" xfId="0" applyNumberFormat="1" applyFont="1" applyFill="1" applyBorder="1" applyAlignment="1">
      <alignment horizontal="center"/>
    </xf>
    <xf numFmtId="10" fontId="6" fillId="5" borderId="5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5" borderId="4" xfId="0" applyFont="1" applyFill="1" applyBorder="1"/>
    <xf numFmtId="0" fontId="2" fillId="5" borderId="12" xfId="0" applyFont="1" applyFill="1" applyBorder="1" applyAlignment="1">
      <alignment wrapText="1"/>
    </xf>
    <xf numFmtId="0" fontId="2" fillId="5" borderId="12" xfId="0" applyFont="1" applyFill="1" applyBorder="1"/>
    <xf numFmtId="164" fontId="2" fillId="5" borderId="12" xfId="0" applyNumberFormat="1" applyFont="1" applyFill="1" applyBorder="1"/>
    <xf numFmtId="0" fontId="2" fillId="6" borderId="10" xfId="0" applyFont="1" applyFill="1" applyBorder="1"/>
    <xf numFmtId="0" fontId="2" fillId="5" borderId="0" xfId="0" applyFont="1" applyFill="1" applyBorder="1" applyAlignment="1">
      <alignment wrapText="1"/>
    </xf>
    <xf numFmtId="0" fontId="2" fillId="5" borderId="0" xfId="0" applyFont="1" applyFill="1" applyBorder="1"/>
    <xf numFmtId="164" fontId="2" fillId="5" borderId="0" xfId="0" applyNumberFormat="1" applyFont="1" applyFill="1" applyBorder="1"/>
    <xf numFmtId="172" fontId="2" fillId="5" borderId="11" xfId="0" applyNumberFormat="1" applyFont="1" applyFill="1" applyBorder="1"/>
    <xf numFmtId="0" fontId="2" fillId="6" borderId="0" xfId="0" applyFont="1" applyFill="1" applyBorder="1" applyAlignment="1">
      <alignment wrapText="1"/>
    </xf>
    <xf numFmtId="0" fontId="2" fillId="6" borderId="0" xfId="0" applyFont="1" applyFill="1" applyBorder="1"/>
    <xf numFmtId="164" fontId="2" fillId="6" borderId="0" xfId="0" applyNumberFormat="1" applyFont="1" applyFill="1" applyBorder="1"/>
    <xf numFmtId="172" fontId="2" fillId="5" borderId="5" xfId="0" applyNumberFormat="1" applyFont="1" applyFill="1" applyBorder="1"/>
  </cellXfs>
  <cellStyles count="1">
    <cellStyle name="Normal" xfId="0" builtinId="0"/>
  </cellStyles>
  <dxfs count="14"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[Oil and Gas Capital Project Portfolio.xlsx]Pivots!PivotTable1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Cost Variance % by Project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Pivots!$A$2:$A$6</c:f>
              <c:strCache>
                <c:ptCount val="4"/>
                <c:pt idx="0">
                  <c:v>Facility Upgrade</c:v>
                </c:pt>
                <c:pt idx="1">
                  <c:v>Maintenance Turnaround</c:v>
                </c:pt>
                <c:pt idx="2">
                  <c:v>Pipeline Construction</c:v>
                </c:pt>
                <c:pt idx="3">
                  <c:v>Well Drilling</c:v>
                </c:pt>
              </c:strCache>
            </c:strRef>
          </c:cat>
          <c:val>
            <c:numRef>
              <c:f>Pivots!$B$2:$B$6</c:f>
              <c:numCache>
                <c:formatCode>General</c:formatCode>
                <c:ptCount val="4"/>
                <c:pt idx="0">
                  <c:v>1.1609090909090909</c:v>
                </c:pt>
                <c:pt idx="1">
                  <c:v>5.0181818181818185</c:v>
                </c:pt>
                <c:pt idx="2">
                  <c:v>2.6740000000000004</c:v>
                </c:pt>
                <c:pt idx="3">
                  <c:v>0.3576923076923077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5-4822-9037-121A2FA99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84480"/>
        <c:axId val="91485440"/>
      </c:barChart>
      <c:catAx>
        <c:axId val="9148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5440"/>
        <c:crosses val="autoZero"/>
        <c:auto val="1"/>
        <c:lblAlgn val="ctr"/>
        <c:lblOffset val="100"/>
        <c:noMultiLvlLbl val="0"/>
      </c:catAx>
      <c:valAx>
        <c:axId val="914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[Oil and Gas Capital Project Portfolio.xlsx]Pivots!PivotTable2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Schedule Variance by Region (Days)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Pivots!$A$11:$A$15</c:f>
              <c:strCache>
                <c:ptCount val="4"/>
                <c:pt idx="0">
                  <c:v>Eagle Ford</c:v>
                </c:pt>
                <c:pt idx="1">
                  <c:v>Gulf Coast</c:v>
                </c:pt>
                <c:pt idx="2">
                  <c:v>Midland</c:v>
                </c:pt>
                <c:pt idx="3">
                  <c:v>Permian Basin</c:v>
                </c:pt>
              </c:strCache>
            </c:strRef>
          </c:cat>
          <c:val>
            <c:numRef>
              <c:f>Pivots!$B$11:$B$15</c:f>
              <c:numCache>
                <c:formatCode>General</c:formatCode>
                <c:ptCount val="4"/>
                <c:pt idx="0">
                  <c:v>2.1052631578947367</c:v>
                </c:pt>
                <c:pt idx="1">
                  <c:v>-0.15384615384615385</c:v>
                </c:pt>
                <c:pt idx="2">
                  <c:v>-11.7</c:v>
                </c:pt>
                <c:pt idx="3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1-4457-B8BB-D9760069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7415840"/>
        <c:axId val="527414400"/>
      </c:barChart>
      <c:catAx>
        <c:axId val="52741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14400"/>
        <c:crosses val="autoZero"/>
        <c:auto val="1"/>
        <c:lblAlgn val="ctr"/>
        <c:lblOffset val="100"/>
        <c:noMultiLvlLbl val="0"/>
      </c:catAx>
      <c:valAx>
        <c:axId val="52741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1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4762</xdr:rowOff>
    </xdr:from>
    <xdr:to>
      <xdr:col>5</xdr:col>
      <xdr:colOff>0</xdr:colOff>
      <xdr:row>31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DA5FF06-68F5-25CE-F55B-105E0B452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4762</xdr:rowOff>
    </xdr:from>
    <xdr:to>
      <xdr:col>9</xdr:col>
      <xdr:colOff>0</xdr:colOff>
      <xdr:row>31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96A709C-0259-117D-9369-DF5AF4F58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ston Huynh" refreshedDate="46093.253831481481" createdVersion="8" refreshedVersion="8" minRefreshableVersion="3" recordCount="50" xr:uid="{DF1F855A-D480-4582-9FF1-4A760C060EF1}">
  <cacheSource type="worksheet">
    <worksheetSource name="ProjectData"/>
  </cacheSource>
  <cacheFields count="26">
    <cacheField name="Project_ID" numFmtId="0">
      <sharedItems/>
    </cacheField>
    <cacheField name="Project_Name" numFmtId="0">
      <sharedItems/>
    </cacheField>
    <cacheField name="Project_Type" numFmtId="0">
      <sharedItems count="4">
        <s v="Maintenance Turnaround"/>
        <s v="Pipeline Construction"/>
        <s v="Facility Upgrade"/>
        <s v="Well Drilling"/>
      </sharedItems>
    </cacheField>
    <cacheField name="Region" numFmtId="0">
      <sharedItems count="4">
        <s v="Midland"/>
        <s v="Permian Basin"/>
        <s v="Eagle Ford"/>
        <s v="Gulf Coast"/>
      </sharedItems>
    </cacheField>
    <cacheField name="Operator" numFmtId="0">
      <sharedItems/>
    </cacheField>
    <cacheField name="Subcontractor" numFmtId="0">
      <sharedItems/>
    </cacheField>
    <cacheField name="Status" numFmtId="0">
      <sharedItems/>
    </cacheField>
    <cacheField name="Budgeted_Cost" numFmtId="0">
      <sharedItems containsSemiMixedTypes="0" containsString="0" containsNumber="1" minValue="1308449.5" maxValue="14993310.689999999"/>
    </cacheField>
    <cacheField name="Actual_Cost" numFmtId="0">
      <sharedItems containsSemiMixedTypes="0" containsString="0" containsNumber="1" minValue="1017166.6" maxValue="16952211.649999999"/>
    </cacheField>
    <cacheField name="Phase_Planning" numFmtId="0">
      <sharedItems containsSemiMixedTypes="0" containsString="0" containsNumber="1" minValue="31168.89" maxValue="6381537.2400000002"/>
    </cacheField>
    <cacheField name="Phase_Drilling_Construction" numFmtId="0">
      <sharedItems containsSemiMixedTypes="0" containsString="0" containsNumber="1" minValue="64676.480000000003" maxValue="8635016.9000000004"/>
    </cacheField>
    <cacheField name="Phase_Completion" numFmtId="0">
      <sharedItems containsSemiMixedTypes="0" containsString="0" containsNumber="1" minValue="7548.71" maxValue="8052068.3799999999"/>
    </cacheField>
    <cacheField name="Phase_Closeout" numFmtId="0">
      <sharedItems containsSemiMixedTypes="0" containsString="0" containsNumber="1" minValue="18478.150000000001" maxValue="5822823.9199999999"/>
    </cacheField>
    <cacheField name="Planned_Start" numFmtId="14">
      <sharedItems containsSemiMixedTypes="0" containsNonDate="0" containsDate="1" containsString="0" minDate="2023-03-19T00:00:00" maxDate="2026-03-06T00:00:00"/>
    </cacheField>
    <cacheField name="Planned_End" numFmtId="14">
      <sharedItems containsSemiMixedTypes="0" containsNonDate="0" containsDate="1" containsString="0" minDate="2023-07-24T00:00:00" maxDate="2027-02-19T00:00:00"/>
    </cacheField>
    <cacheField name="Actual_End" numFmtId="14">
      <sharedItems containsSemiMixedTypes="0" containsNonDate="0" containsDate="1" containsString="0" minDate="2023-09-02T00:00:00" maxDate="2027-02-21T00:00:00"/>
    </cacheField>
    <cacheField name="Schedule_Variance_Days" numFmtId="0">
      <sharedItems containsSemiMixedTypes="0" containsString="0" containsNumber="1" containsInteger="1" minValue="-44" maxValue="44"/>
    </cacheField>
    <cacheField name="Change_Order_Count" numFmtId="0">
      <sharedItems containsSemiMixedTypes="0" containsString="0" containsNumber="1" containsInteger="1" minValue="0" maxValue="8"/>
    </cacheField>
    <cacheField name="Change_Order_Cost" numFmtId="0">
      <sharedItems containsSemiMixedTypes="0" containsString="0" containsNumber="1" minValue="0" maxValue="1204969.31"/>
    </cacheField>
    <cacheField name="Cost_Variance" numFmtId="0">
      <sharedItems containsSemiMixedTypes="0" containsString="0" containsNumber="1" minValue="-2120606.8400000008" maxValue="3052270.2299999986"/>
    </cacheField>
    <cacheField name="Cost_Variance_Pct" numFmtId="0">
      <sharedItems containsSemiMixedTypes="0" containsString="0" containsNumber="1" minValue="-23.81" maxValue="24.47"/>
    </cacheField>
    <cacheField name="Change_Order_Budget_Impact_Pct" numFmtId="0">
      <sharedItems containsSemiMixedTypes="0" containsString="0" containsNumber="1" minValue="0" maxValue="10.77"/>
    </cacheField>
    <cacheField name="On_Time" numFmtId="0">
      <sharedItems/>
    </cacheField>
    <cacheField name="Risk_Flag" numFmtId="0">
      <sharedItems/>
    </cacheField>
    <cacheField name="Budget_Health" numFmtId="0">
      <sharedItems/>
    </cacheField>
    <cacheField name="Change_Order_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G-1000"/>
    <s v="Midland Maintenance Turnaround 1"/>
    <x v="0"/>
    <x v="0"/>
    <s v="Freeman, Barnes and Gonzalez Energy"/>
    <s v="Powell and Sons Services"/>
    <s v="Completed"/>
    <n v="9191866.9600000009"/>
    <n v="9983647.7599999998"/>
    <n v="1631312.81"/>
    <n v="4253314.74"/>
    <n v="77843.570000000007"/>
    <n v="4021176.63"/>
    <d v="2025-09-14T00:00:00"/>
    <d v="2026-03-10T00:00:00"/>
    <d v="2026-03-15T00:00:00"/>
    <n v="5"/>
    <n v="3"/>
    <n v="82671.62"/>
    <n v="791780.79999999888"/>
    <n v="8.61"/>
    <n v="0.9"/>
    <s v="No"/>
    <s v="High Risk"/>
    <s v="Watch"/>
    <s v="Moderate CO Impact"/>
  </r>
  <r>
    <s v="OG-1001"/>
    <s v="Permian Basin Maintenance Turnaround 2"/>
    <x v="0"/>
    <x v="1"/>
    <s v="Silva PLC Energy"/>
    <s v="Ellis-Wheeler Services"/>
    <s v="Delayed"/>
    <n v="7594486.8899999997"/>
    <n v="6826010.25"/>
    <n v="52705.62"/>
    <n v="5146957.7"/>
    <n v="7548.71"/>
    <n v="1618798.22"/>
    <d v="2024-07-07T00:00:00"/>
    <d v="2025-04-08T00:00:00"/>
    <d v="2025-04-30T00:00:00"/>
    <n v="22"/>
    <n v="3"/>
    <n v="406316.03"/>
    <n v="-768476.63999999966"/>
    <n v="-10.119999999999999"/>
    <n v="5.35"/>
    <s v="No"/>
    <s v="Medium Risk"/>
    <s v="Under Budget"/>
    <s v="No Change Orders"/>
  </r>
  <r>
    <s v="OG-1002"/>
    <s v="Eagle Ford Pipeline Construction 3"/>
    <x v="1"/>
    <x v="2"/>
    <s v="Williams and Sons Energy"/>
    <s v="Cannon LLC Services"/>
    <s v="Completed"/>
    <n v="10078234.49"/>
    <n v="9460634.9199999999"/>
    <n v="862300.13"/>
    <n v="3345838.09"/>
    <n v="636786.39"/>
    <n v="4615710.3"/>
    <d v="2026-03-05T00:00:00"/>
    <d v="2027-02-18T00:00:00"/>
    <d v="2027-02-20T00:00:00"/>
    <n v="2"/>
    <n v="5"/>
    <n v="94066.41"/>
    <n v="-617599.5700000003"/>
    <n v="-6.13"/>
    <n v="0.93"/>
    <s v="No"/>
    <s v="Medium Risk"/>
    <s v="On Track"/>
    <s v="No Change Orders"/>
  </r>
  <r>
    <s v="OG-1003"/>
    <s v="Midland Facility Upgrade 4"/>
    <x v="2"/>
    <x v="0"/>
    <s v="Moreno, Walker and Robinson Energy"/>
    <s v="Grimes LLC Services"/>
    <s v="Completed"/>
    <n v="4406288.62"/>
    <n v="3510959.62"/>
    <n v="1919321.87"/>
    <n v="272019.44"/>
    <n v="924281.32"/>
    <n v="395336.99"/>
    <d v="2025-09-15T00:00:00"/>
    <d v="2025-11-17T00:00:00"/>
    <d v="2025-12-15T00:00:00"/>
    <n v="28"/>
    <n v="6"/>
    <n v="121209.05"/>
    <n v="-895329"/>
    <n v="-20.32"/>
    <n v="2.75"/>
    <s v="No"/>
    <s v="Medium Risk"/>
    <s v="Under Budget"/>
    <s v="No Change Orders"/>
  </r>
  <r>
    <s v="OG-1004"/>
    <s v="Midland Pipeline Construction 5"/>
    <x v="1"/>
    <x v="0"/>
    <s v="Moreno, Walker and Robinson Energy"/>
    <s v="Nelson, Miller and Johnson Services"/>
    <s v="Over Budget"/>
    <n v="5684111.4100000001"/>
    <n v="6616426.6600000001"/>
    <n v="864928.92"/>
    <n v="3574456.57"/>
    <n v="345373.41"/>
    <n v="1831667.76"/>
    <d v="2023-11-05T00:00:00"/>
    <d v="2024-04-23T00:00:00"/>
    <d v="2024-03-18T00:00:00"/>
    <n v="-36"/>
    <n v="2"/>
    <n v="191201.42"/>
    <n v="932315.25"/>
    <n v="16.399999999999999"/>
    <n v="3.36"/>
    <s v="Yes"/>
    <s v="Medium Risk"/>
    <s v="Critical"/>
    <s v="High CO Impact"/>
  </r>
  <r>
    <s v="OG-1005"/>
    <s v="Eagle Ford Pipeline Construction 6"/>
    <x v="1"/>
    <x v="2"/>
    <s v="Moreno, Walker and Robinson Energy"/>
    <s v="Miller Inc Services"/>
    <s v="Over Budget"/>
    <n v="2091990.07"/>
    <n v="1719627.34"/>
    <n v="332165.61"/>
    <n v="901791.09"/>
    <n v="112517.4"/>
    <n v="373153.24"/>
    <d v="2023-06-11T00:00:00"/>
    <d v="2023-11-05T00:00:00"/>
    <d v="2023-09-22T00:00:00"/>
    <n v="-44"/>
    <n v="7"/>
    <n v="225325.51"/>
    <n v="-372362.73"/>
    <n v="-17.8"/>
    <n v="10.77"/>
    <s v="Yes"/>
    <s v="Clean"/>
    <s v="Under Budget"/>
    <s v="No Change Orders"/>
  </r>
  <r>
    <s v="OG-1006"/>
    <s v="Permian Basin Maintenance Turnaround 7"/>
    <x v="0"/>
    <x v="1"/>
    <s v="Hale, Garrett and Lee Energy"/>
    <s v="Pierce-Mendoza Services"/>
    <s v="Over Budget"/>
    <n v="4992200.42"/>
    <n v="5987256.2599999998"/>
    <n v="1090533.6000000001"/>
    <n v="248890.56"/>
    <n v="3587711.66"/>
    <n v="1060120.44"/>
    <d v="2024-06-10T00:00:00"/>
    <d v="2024-08-11T00:00:00"/>
    <d v="2024-07-01T00:00:00"/>
    <n v="-41"/>
    <n v="6"/>
    <n v="222198.78"/>
    <n v="995055.83999999985"/>
    <n v="19.93"/>
    <n v="4.45"/>
    <s v="Yes"/>
    <s v="Medium Risk"/>
    <s v="Critical"/>
    <s v="High CO Impact"/>
  </r>
  <r>
    <s v="OG-1007"/>
    <s v="Eagle Ford Well Drilling 8"/>
    <x v="3"/>
    <x v="2"/>
    <s v="Williams and Sons Energy"/>
    <s v="Jones Ltd Services"/>
    <s v="Over Budget"/>
    <n v="4234860.32"/>
    <n v="4287535.29"/>
    <n v="926970.18"/>
    <n v="1462707.75"/>
    <n v="1633748.48"/>
    <n v="264108.88"/>
    <d v="2023-12-19T00:00:00"/>
    <d v="2024-09-10T00:00:00"/>
    <d v="2024-10-22T00:00:00"/>
    <n v="42"/>
    <n v="2"/>
    <n v="67424.84"/>
    <n v="52674.969999999739"/>
    <n v="1.24"/>
    <n v="1.59"/>
    <s v="No"/>
    <s v="Medium Risk"/>
    <s v="On Track"/>
    <s v="Low CO Impact"/>
  </r>
  <r>
    <s v="OG-1008"/>
    <s v="Eagle Ford Pipeline Construction 9"/>
    <x v="1"/>
    <x v="2"/>
    <s v="Silva PLC Energy"/>
    <s v="Jacobs, Hood and Taylor Services"/>
    <s v="Delayed"/>
    <n v="14147739.42"/>
    <n v="13908912.380000001"/>
    <n v="2362526.83"/>
    <n v="6141335.9199999999"/>
    <n v="3649887.55"/>
    <n v="1755162.08"/>
    <d v="2025-09-20T00:00:00"/>
    <d v="2026-01-21T00:00:00"/>
    <d v="2026-02-27T00:00:00"/>
    <n v="37"/>
    <n v="1"/>
    <n v="37789.78"/>
    <n v="-238827.03999999911"/>
    <n v="-1.69"/>
    <n v="0.27"/>
    <s v="No"/>
    <s v="Medium Risk"/>
    <s v="On Track"/>
    <s v="No Change Orders"/>
  </r>
  <r>
    <s v="OG-1009"/>
    <s v="Midland Pipeline Construction 10"/>
    <x v="1"/>
    <x v="0"/>
    <s v="Hale, Garrett and Lee Energy"/>
    <s v="Powell and Sons Services"/>
    <s v="Active"/>
    <n v="13899941.42"/>
    <n v="16952211.649999999"/>
    <n v="5550694.4800000004"/>
    <n v="1732148.71"/>
    <n v="3846544.54"/>
    <n v="5822823.9199999999"/>
    <d v="2023-09-04T00:00:00"/>
    <d v="2024-08-16T00:00:00"/>
    <d v="2024-07-10T00:00:00"/>
    <n v="-37"/>
    <n v="5"/>
    <n v="1204969.31"/>
    <n v="3052270.2299999986"/>
    <n v="21.96"/>
    <n v="8.67"/>
    <s v="Yes"/>
    <s v="Medium Risk"/>
    <s v="Critical"/>
    <s v="High CO Impact"/>
  </r>
  <r>
    <s v="OG-1010"/>
    <s v="Gulf Coast Well Drilling 11"/>
    <x v="3"/>
    <x v="3"/>
    <s v="Hale, Garrett and Lee Energy"/>
    <s v="Harris, Lynn and Aguilar Services"/>
    <s v="Completed"/>
    <n v="10335707.5"/>
    <n v="9870386.3800000008"/>
    <n v="1444937.17"/>
    <n v="5279237.8899999997"/>
    <n v="1720589.89"/>
    <n v="1425621.43"/>
    <d v="2024-12-29T00:00:00"/>
    <d v="2025-11-10T00:00:00"/>
    <d v="2025-10-15T00:00:00"/>
    <n v="-26"/>
    <n v="4"/>
    <n v="10370.48"/>
    <n v="-465321.11999999918"/>
    <n v="-4.5"/>
    <n v="0.1"/>
    <s v="Yes"/>
    <s v="Clean"/>
    <s v="On Track"/>
    <s v="No Change Orders"/>
  </r>
  <r>
    <s v="OG-1011"/>
    <s v="Midland Pipeline Construction 12"/>
    <x v="1"/>
    <x v="0"/>
    <s v="Callahan-Morris Energy"/>
    <s v="Bautista-Caldwell Services"/>
    <s v="Delayed"/>
    <n v="5382932.6799999997"/>
    <n v="4825974.4000000004"/>
    <n v="169178.67"/>
    <n v="351532.3"/>
    <n v="1229937.82"/>
    <n v="3075325.61"/>
    <d v="2023-03-21T00:00:00"/>
    <d v="2023-12-10T00:00:00"/>
    <d v="2023-10-28T00:00:00"/>
    <n v="-43"/>
    <n v="6"/>
    <n v="300899.5"/>
    <n v="-556958.27999999933"/>
    <n v="-10.35"/>
    <n v="5.59"/>
    <s v="Yes"/>
    <s v="Clean"/>
    <s v="Under Budget"/>
    <s v="No Change Orders"/>
  </r>
  <r>
    <s v="OG-1012"/>
    <s v="Eagle Ford Well Drilling 13"/>
    <x v="3"/>
    <x v="2"/>
    <s v="Moreno, Walker and Robinson Energy"/>
    <s v="Williams, Beard and Madden Services"/>
    <s v="Active"/>
    <n v="13884024.33"/>
    <n v="12583052.779999999"/>
    <n v="124634.78"/>
    <n v="5163421.1500000004"/>
    <n v="2941016.22"/>
    <n v="4353980.62"/>
    <d v="2025-07-31T00:00:00"/>
    <d v="2026-04-21T00:00:00"/>
    <d v="2026-05-28T00:00:00"/>
    <n v="37"/>
    <n v="7"/>
    <n v="503407.56"/>
    <n v="-1300971.5500000007"/>
    <n v="-9.3699999999999992"/>
    <n v="3.63"/>
    <s v="No"/>
    <s v="Medium Risk"/>
    <s v="On Track"/>
    <s v="No Change Orders"/>
  </r>
  <r>
    <s v="OG-1013"/>
    <s v="Gulf Coast Well Drilling 14"/>
    <x v="3"/>
    <x v="3"/>
    <s v="Freeman, Barnes and Gonzalez Energy"/>
    <s v="Grimes LLC Services"/>
    <s v="Completed"/>
    <n v="11577902.51"/>
    <n v="9569822.1500000004"/>
    <n v="1773638.22"/>
    <n v="2207507.15"/>
    <n v="2028568.7"/>
    <n v="3560108.09"/>
    <d v="2023-12-28T00:00:00"/>
    <d v="2024-07-02T00:00:00"/>
    <d v="2024-07-31T00:00:00"/>
    <n v="29"/>
    <n v="6"/>
    <n v="463241.83"/>
    <n v="-2008080.3599999994"/>
    <n v="-17.34"/>
    <n v="4"/>
    <s v="No"/>
    <s v="Medium Risk"/>
    <s v="Under Budget"/>
    <s v="No Change Orders"/>
  </r>
  <r>
    <s v="OG-1014"/>
    <s v="Gulf Coast Maintenance Turnaround 15"/>
    <x v="0"/>
    <x v="3"/>
    <s v="Smith LLC Energy"/>
    <s v="Garcia, Wright and Graham Services"/>
    <s v="Delayed"/>
    <n v="7795684.5599999996"/>
    <n v="6763795.2800000003"/>
    <n v="243625.7"/>
    <n v="2078591.93"/>
    <n v="609985.19999999995"/>
    <n v="3831592.44"/>
    <d v="2023-06-08T00:00:00"/>
    <d v="2024-01-18T00:00:00"/>
    <d v="2024-01-15T00:00:00"/>
    <n v="-3"/>
    <n v="7"/>
    <n v="654727.97"/>
    <n v="-1031889.2799999993"/>
    <n v="-13.24"/>
    <n v="8.4"/>
    <s v="Yes"/>
    <s v="Clean"/>
    <s v="Under Budget"/>
    <s v="No Change Orders"/>
  </r>
  <r>
    <s v="OG-1015"/>
    <s v="Midland Facility Upgrade 16"/>
    <x v="2"/>
    <x v="0"/>
    <s v="Silva PLC Energy"/>
    <s v="Pierce-Mendoza Services"/>
    <s v="Delayed"/>
    <n v="2811587.42"/>
    <n v="3080136.02"/>
    <n v="1248954.72"/>
    <n v="311296.77"/>
    <n v="1012034.35"/>
    <n v="507850.17"/>
    <d v="2026-01-03T00:00:00"/>
    <d v="2026-09-14T00:00:00"/>
    <d v="2026-08-21T00:00:00"/>
    <n v="-24"/>
    <n v="7"/>
    <n v="86117.03"/>
    <n v="268548.60000000009"/>
    <n v="9.5500000000000007"/>
    <n v="3.06"/>
    <s v="Yes"/>
    <s v="Medium Risk"/>
    <s v="Watch"/>
    <s v="Moderate CO Impact"/>
  </r>
  <r>
    <s v="OG-1016"/>
    <s v="Permian Basin Facility Upgrade 17"/>
    <x v="2"/>
    <x v="1"/>
    <s v="Munoz PLC Energy"/>
    <s v="Garcia, Wright and Graham Services"/>
    <s v="Delayed"/>
    <n v="10567893.6"/>
    <n v="10802592.85"/>
    <n v="1096716.6499999999"/>
    <n v="3415259.52"/>
    <n v="2613340.86"/>
    <n v="3677275.82"/>
    <d v="2025-12-25T00:00:00"/>
    <d v="2026-06-01T00:00:00"/>
    <d v="2026-06-27T00:00:00"/>
    <n v="26"/>
    <n v="2"/>
    <n v="375447.29"/>
    <n v="234699.25"/>
    <n v="2.2200000000000002"/>
    <n v="3.55"/>
    <s v="No"/>
    <s v="Medium Risk"/>
    <s v="On Track"/>
    <s v="Low CO Impact"/>
  </r>
  <r>
    <s v="OG-1017"/>
    <s v="Midland Pipeline Construction 18"/>
    <x v="1"/>
    <x v="0"/>
    <s v="Munoz PLC Energy"/>
    <s v="Mendoza-Wagner Services"/>
    <s v="Active"/>
    <n v="10020066.73"/>
    <n v="10153265.18"/>
    <n v="475781.56"/>
    <n v="8635016.9000000004"/>
    <n v="181160.33"/>
    <n v="861306.4"/>
    <d v="2025-11-19T00:00:00"/>
    <d v="2026-01-19T00:00:00"/>
    <d v="2025-12-19T00:00:00"/>
    <n v="-31"/>
    <n v="1"/>
    <n v="113099.15"/>
    <n v="133198.44999999925"/>
    <n v="1.33"/>
    <n v="1.1299999999999999"/>
    <s v="Yes"/>
    <s v="Clean"/>
    <s v="On Track"/>
    <s v="Low CO Impact"/>
  </r>
  <r>
    <s v="OG-1018"/>
    <s v="Eagle Ford Facility Upgrade 19"/>
    <x v="2"/>
    <x v="2"/>
    <s v="Williams PLC Energy"/>
    <s v="Grimes LLC Services"/>
    <s v="Over Budget"/>
    <n v="11880637.76"/>
    <n v="11922692.35"/>
    <n v="6012693.21"/>
    <n v="2354379.21"/>
    <n v="2082002.03"/>
    <n v="1473617.9"/>
    <d v="2025-01-23T00:00:00"/>
    <d v="2025-11-06T00:00:00"/>
    <d v="2025-09-29T00:00:00"/>
    <n v="-38"/>
    <n v="3"/>
    <n v="211638.01"/>
    <n v="42054.589999999851"/>
    <n v="0.35"/>
    <n v="1.78"/>
    <s v="Yes"/>
    <s v="Clean"/>
    <s v="On Track"/>
    <s v="Low CO Impact"/>
  </r>
  <r>
    <s v="OG-1019"/>
    <s v="Eagle Ford Facility Upgrade 20"/>
    <x v="2"/>
    <x v="2"/>
    <s v="Moreno, Walker and Robinson Energy"/>
    <s v="Garcia, Wright and Graham Services"/>
    <s v="Completed"/>
    <n v="14993310.689999999"/>
    <n v="16674251.5"/>
    <n v="4820682.6100000003"/>
    <n v="3306613.15"/>
    <n v="8052068.3799999999"/>
    <n v="494887.36"/>
    <d v="2024-07-12T00:00:00"/>
    <d v="2025-02-14T00:00:00"/>
    <d v="2025-01-19T00:00:00"/>
    <n v="-26"/>
    <n v="1"/>
    <n v="195835.08"/>
    <n v="1680940.8100000005"/>
    <n v="11.21"/>
    <n v="1.31"/>
    <s v="Yes"/>
    <s v="Medium Risk"/>
    <s v="Watch"/>
    <s v="Moderate CO Impact"/>
  </r>
  <r>
    <s v="OG-1020"/>
    <s v="Gulf Coast Facility Upgrade 21"/>
    <x v="2"/>
    <x v="3"/>
    <s v="Williams PLC Energy"/>
    <s v="Ellis-Wheeler Services"/>
    <s v="Completed"/>
    <n v="9582795.1500000004"/>
    <n v="11251316.390000001"/>
    <n v="2543022.02"/>
    <n v="1707503.74"/>
    <n v="3480371.73"/>
    <n v="3520418.9"/>
    <d v="2025-02-18T00:00:00"/>
    <d v="2026-02-14T00:00:00"/>
    <d v="2026-02-18T00:00:00"/>
    <n v="4"/>
    <n v="4"/>
    <n v="167318.95000000001"/>
    <n v="1668521.2400000002"/>
    <n v="17.41"/>
    <n v="1.75"/>
    <s v="No"/>
    <s v="High Risk"/>
    <s v="Critical"/>
    <s v="High CO Impact"/>
  </r>
  <r>
    <s v="OG-1021"/>
    <s v="Eagle Ford Maintenance Turnaround 22"/>
    <x v="0"/>
    <x v="2"/>
    <s v="Weaver, Hill and Bowers Energy"/>
    <s v="Garcia, Wright and Graham Services"/>
    <s v="Over Budget"/>
    <n v="7181923.2599999998"/>
    <n v="7862523.9800000004"/>
    <n v="757570.42"/>
    <n v="3213035.75"/>
    <n v="1348207.83"/>
    <n v="2543709.9700000002"/>
    <d v="2025-11-06T00:00:00"/>
    <d v="2026-03-11T00:00:00"/>
    <d v="2026-03-20T00:00:00"/>
    <n v="9"/>
    <n v="2"/>
    <n v="291439.15999999997"/>
    <n v="680600.72000000067"/>
    <n v="9.48"/>
    <n v="4.0599999999999996"/>
    <s v="No"/>
    <s v="High Risk"/>
    <s v="Watch"/>
    <s v="Moderate CO Impact"/>
  </r>
  <r>
    <s v="OG-1022"/>
    <s v="Gulf Coast Pipeline Construction 23"/>
    <x v="1"/>
    <x v="3"/>
    <s v="Weaver, Hill and Bowers Energy"/>
    <s v="Acosta, Graham and Odonnell Services"/>
    <s v="Over Budget"/>
    <n v="3510366.91"/>
    <n v="3704741.8"/>
    <n v="2384250.89"/>
    <n v="157084.54"/>
    <n v="467444.16"/>
    <n v="695962.22"/>
    <d v="2025-08-22T00:00:00"/>
    <d v="2026-06-15T00:00:00"/>
    <d v="2026-07-26T00:00:00"/>
    <n v="41"/>
    <n v="6"/>
    <n v="87038.57"/>
    <n v="194374.88999999966"/>
    <n v="5.54"/>
    <n v="2.48"/>
    <s v="No"/>
    <s v="High Risk"/>
    <s v="Watch"/>
    <s v="Moderate CO Impact"/>
  </r>
  <r>
    <s v="OG-1023"/>
    <s v="Eagle Ford Maintenance Turnaround 24"/>
    <x v="0"/>
    <x v="2"/>
    <s v="Smith LLC Energy"/>
    <s v="Cannon LLC Services"/>
    <s v="Delayed"/>
    <n v="8209121.6399999997"/>
    <n v="8856064.6400000006"/>
    <n v="309165.81"/>
    <n v="1850781.18"/>
    <n v="2973106.59"/>
    <n v="3723011.06"/>
    <d v="2023-06-01T00:00:00"/>
    <d v="2024-03-22T00:00:00"/>
    <d v="2024-02-25T00:00:00"/>
    <n v="-26"/>
    <n v="8"/>
    <n v="22774.86"/>
    <n v="646943.00000000093"/>
    <n v="7.88"/>
    <n v="0.28000000000000003"/>
    <s v="Yes"/>
    <s v="Medium Risk"/>
    <s v="Watch"/>
    <s v="Moderate CO Impact"/>
  </r>
  <r>
    <s v="OG-1024"/>
    <s v="Gulf Coast Well Drilling 25"/>
    <x v="3"/>
    <x v="3"/>
    <s v="Moreno, Walker and Robinson Energy"/>
    <s v="Garcia, Wright and Graham Services"/>
    <s v="Delayed"/>
    <n v="8759460.2300000004"/>
    <n v="10719628.609999999"/>
    <n v="1930250.04"/>
    <n v="1222406.1000000001"/>
    <n v="7294225.1900000004"/>
    <n v="272747.28000000003"/>
    <d v="2025-11-01T00:00:00"/>
    <d v="2026-09-29T00:00:00"/>
    <d v="2026-10-25T00:00:00"/>
    <n v="26"/>
    <n v="4"/>
    <n v="499426.57"/>
    <n v="1960168.379999999"/>
    <n v="22.38"/>
    <n v="5.7"/>
    <s v="No"/>
    <s v="High Risk"/>
    <s v="Critical"/>
    <s v="High CO Impact"/>
  </r>
  <r>
    <s v="OG-1025"/>
    <s v="Eagle Ford Facility Upgrade 26"/>
    <x v="2"/>
    <x v="2"/>
    <s v="Hale, Garrett and Lee Energy"/>
    <s v="Ramirez PLC Services"/>
    <s v="Delayed"/>
    <n v="9028072.2799999993"/>
    <n v="7415676.6299999999"/>
    <n v="102650.92"/>
    <n v="1939428.47"/>
    <n v="3749358.62"/>
    <n v="1624238.62"/>
    <d v="2025-07-25T00:00:00"/>
    <d v="2025-10-17T00:00:00"/>
    <d v="2025-11-14T00:00:00"/>
    <n v="28"/>
    <n v="6"/>
    <n v="44049.07"/>
    <n v="-1612395.6499999994"/>
    <n v="-17.86"/>
    <n v="0.49"/>
    <s v="No"/>
    <s v="Medium Risk"/>
    <s v="Under Budget"/>
    <s v="No Change Orders"/>
  </r>
  <r>
    <s v="OG-1026"/>
    <s v="Gulf Coast Pipeline Construction 27"/>
    <x v="1"/>
    <x v="3"/>
    <s v="Hale, Garrett and Lee Energy"/>
    <s v="Daniel-Duarte Services"/>
    <s v="Active"/>
    <n v="12648590.57"/>
    <n v="15411586.85"/>
    <n v="2625734.0699999998"/>
    <n v="1887800.37"/>
    <n v="6039051.2000000002"/>
    <n v="4859001.21"/>
    <d v="2023-06-09T00:00:00"/>
    <d v="2023-09-06T00:00:00"/>
    <d v="2023-09-22T00:00:00"/>
    <n v="16"/>
    <n v="6"/>
    <n v="392056.01"/>
    <n v="2762996.2799999993"/>
    <n v="21.84"/>
    <n v="3.1"/>
    <s v="No"/>
    <s v="High Risk"/>
    <s v="Critical"/>
    <s v="High CO Impact"/>
  </r>
  <r>
    <s v="OG-1027"/>
    <s v="Eagle Ford Maintenance Turnaround 28"/>
    <x v="0"/>
    <x v="2"/>
    <s v="Weaver, Hill and Bowers Energy"/>
    <s v="Bautista-Caldwell Services"/>
    <s v="Active"/>
    <n v="4494618.26"/>
    <n v="4973586.78"/>
    <n v="2729730.96"/>
    <n v="545897.31000000006"/>
    <n v="188907.11"/>
    <n v="1509051.39"/>
    <d v="2025-01-07T00:00:00"/>
    <d v="2025-09-10T00:00:00"/>
    <d v="2025-10-19T00:00:00"/>
    <n v="39"/>
    <n v="1"/>
    <n v="56601.95"/>
    <n v="478968.52000000048"/>
    <n v="10.66"/>
    <n v="1.26"/>
    <s v="No"/>
    <s v="High Risk"/>
    <s v="Watch"/>
    <s v="Moderate CO Impact"/>
  </r>
  <r>
    <s v="OG-1028"/>
    <s v="Gulf Coast Pipeline Construction 29"/>
    <x v="1"/>
    <x v="3"/>
    <s v="Williams PLC Energy"/>
    <s v="Bautista-Caldwell Services"/>
    <s v="Active"/>
    <n v="1681213.6"/>
    <n v="1878310.89"/>
    <n v="168871.34"/>
    <n v="64676.480000000003"/>
    <n v="822122.5"/>
    <n v="822640.57"/>
    <d v="2025-10-13T00:00:00"/>
    <d v="2026-02-08T00:00:00"/>
    <d v="2026-02-23T00:00:00"/>
    <n v="15"/>
    <n v="2"/>
    <n v="62420.56"/>
    <n v="197097.2899999998"/>
    <n v="11.72"/>
    <n v="3.71"/>
    <s v="No"/>
    <s v="High Risk"/>
    <s v="Watch"/>
    <s v="Moderate CO Impact"/>
  </r>
  <r>
    <s v="OG-1029"/>
    <s v="Permian Basin Well Drilling 30"/>
    <x v="3"/>
    <x v="1"/>
    <s v="Williams PLC Energy"/>
    <s v="Nelson, Miller and Johnson Services"/>
    <s v="Active"/>
    <n v="9875876.9000000004"/>
    <n v="8603600.1400000006"/>
    <n v="2356311.4700000002"/>
    <n v="4745287.9800000004"/>
    <n v="682466.16"/>
    <n v="819534.53"/>
    <d v="2026-02-09T00:00:00"/>
    <d v="2026-07-04T00:00:00"/>
    <d v="2026-06-29T00:00:00"/>
    <n v="-5"/>
    <n v="5"/>
    <n v="967570.46"/>
    <n v="-1272276.7599999998"/>
    <n v="-12.88"/>
    <n v="9.8000000000000007"/>
    <s v="Yes"/>
    <s v="Clean"/>
    <s v="Under Budget"/>
    <s v="No Change Orders"/>
  </r>
  <r>
    <s v="OG-1030"/>
    <s v="Gulf Coast Pipeline Construction 31"/>
    <x v="1"/>
    <x v="3"/>
    <s v="Moreno, Walker and Robinson Energy"/>
    <s v="Rodriguez, King and Wolfe Services"/>
    <s v="Completed"/>
    <n v="13449725.560000001"/>
    <n v="11771812.98"/>
    <n v="6002256.6200000001"/>
    <n v="501720.66"/>
    <n v="1215818.42"/>
    <n v="4052017.28"/>
    <d v="2025-08-07T00:00:00"/>
    <d v="2026-05-17T00:00:00"/>
    <d v="2026-04-06T00:00:00"/>
    <n v="-41"/>
    <n v="3"/>
    <n v="279134.40999999997"/>
    <n v="-1677912.58"/>
    <n v="-12.48"/>
    <n v="2.08"/>
    <s v="Yes"/>
    <s v="Clean"/>
    <s v="Under Budget"/>
    <s v="No Change Orders"/>
  </r>
  <r>
    <s v="OG-1031"/>
    <s v="Permian Basin Maintenance Turnaround 32"/>
    <x v="0"/>
    <x v="1"/>
    <s v="Freeman, Barnes and Gonzalez Energy"/>
    <s v="Jacobs, Hood and Taylor Services"/>
    <s v="Completed"/>
    <n v="5964134.7699999996"/>
    <n v="6465469.8200000003"/>
    <n v="31168.89"/>
    <n v="5803987.2999999998"/>
    <n v="267259.23"/>
    <n v="363054.41"/>
    <d v="2024-03-16T00:00:00"/>
    <d v="2024-07-03T00:00:00"/>
    <d v="2024-07-12T00:00:00"/>
    <n v="9"/>
    <n v="3"/>
    <n v="228160.97"/>
    <n v="501335.05000000075"/>
    <n v="8.41"/>
    <n v="3.83"/>
    <s v="No"/>
    <s v="High Risk"/>
    <s v="Watch"/>
    <s v="Moderate CO Impact"/>
  </r>
  <r>
    <s v="OG-1032"/>
    <s v="Midland Pipeline Construction 33"/>
    <x v="1"/>
    <x v="0"/>
    <s v="Munoz PLC Energy"/>
    <s v="Williams, Beard and Madden Services"/>
    <s v="Completed"/>
    <n v="4168531.67"/>
    <n v="4892306.07"/>
    <n v="753637.17"/>
    <n v="823103.57"/>
    <n v="2378872.86"/>
    <n v="936692.46"/>
    <d v="2024-11-06T00:00:00"/>
    <d v="2025-11-02T00:00:00"/>
    <d v="2025-10-30T00:00:00"/>
    <n v="-3"/>
    <n v="0"/>
    <n v="0"/>
    <n v="723774.40000000037"/>
    <n v="17.36"/>
    <n v="0"/>
    <s v="Yes"/>
    <s v="Medium Risk"/>
    <s v="Critical"/>
    <s v="High CO Impact"/>
  </r>
  <r>
    <s v="OG-1033"/>
    <s v="Eagle Ford Pipeline Construction 34"/>
    <x v="1"/>
    <x v="2"/>
    <s v="Moreno, Walker and Robinson Energy"/>
    <s v="Garcia, Wright and Graham Services"/>
    <s v="Over Budget"/>
    <n v="13273861.84"/>
    <n v="11904242.75"/>
    <n v="1668160.19"/>
    <n v="1472702.75"/>
    <n v="3118110.14"/>
    <n v="5645269.6699999999"/>
    <d v="2023-12-14T00:00:00"/>
    <d v="2024-11-22T00:00:00"/>
    <d v="2024-12-11T00:00:00"/>
    <n v="19"/>
    <n v="4"/>
    <n v="346570.02"/>
    <n v="-1369619.0899999999"/>
    <n v="-10.32"/>
    <n v="2.61"/>
    <s v="No"/>
    <s v="Medium Risk"/>
    <s v="Under Budget"/>
    <s v="No Change Orders"/>
  </r>
  <r>
    <s v="OG-1034"/>
    <s v="Permian Basin Well Drilling 35"/>
    <x v="3"/>
    <x v="1"/>
    <s v="Munoz PLC Energy"/>
    <s v="Ellis-Wheeler Services"/>
    <s v="Completed"/>
    <n v="2877340.91"/>
    <n v="3134363.51"/>
    <n v="1134848.9099999999"/>
    <n v="868124.33"/>
    <n v="1112912.1100000001"/>
    <n v="18478.150000000001"/>
    <d v="2024-08-07T00:00:00"/>
    <d v="2025-03-17T00:00:00"/>
    <d v="2025-03-08T00:00:00"/>
    <n v="-9"/>
    <n v="5"/>
    <n v="214934.39999999999"/>
    <n v="257022.59999999963"/>
    <n v="8.93"/>
    <n v="7.47"/>
    <s v="Yes"/>
    <s v="Medium Risk"/>
    <s v="Watch"/>
    <s v="Moderate CO Impact"/>
  </r>
  <r>
    <s v="OG-1035"/>
    <s v="Eagle Ford Facility Upgrade 36"/>
    <x v="2"/>
    <x v="2"/>
    <s v="Williams PLC Energy"/>
    <s v="Ramirez PLC Services"/>
    <s v="Over Budget"/>
    <n v="2685834.72"/>
    <n v="2797945.5"/>
    <n v="275236.59999999998"/>
    <n v="505219.37"/>
    <n v="1943444.98"/>
    <n v="74044.55"/>
    <d v="2025-06-09T00:00:00"/>
    <d v="2025-08-17T00:00:00"/>
    <d v="2025-08-02T00:00:00"/>
    <n v="-15"/>
    <n v="4"/>
    <n v="178622.56"/>
    <n v="112110.7799999998"/>
    <n v="4.17"/>
    <n v="6.65"/>
    <s v="Yes"/>
    <s v="Clean"/>
    <s v="On Track"/>
    <s v="Low CO Impact"/>
  </r>
  <r>
    <s v="OG-1036"/>
    <s v="Eagle Ford Pipeline Construction 37"/>
    <x v="1"/>
    <x v="2"/>
    <s v="Williams PLC Energy"/>
    <s v="Jacobs, Hood and Taylor Services"/>
    <s v="Delayed"/>
    <n v="6391057.5599999996"/>
    <n v="7839032.2699999996"/>
    <n v="1368411.16"/>
    <n v="1326880.73"/>
    <n v="5038957.67"/>
    <n v="104782.72"/>
    <d v="2025-08-05T00:00:00"/>
    <d v="2025-10-31T00:00:00"/>
    <d v="2025-09-27T00:00:00"/>
    <n v="-34"/>
    <n v="3"/>
    <n v="104296.64"/>
    <n v="1447974.71"/>
    <n v="22.66"/>
    <n v="1.63"/>
    <s v="Yes"/>
    <s v="Medium Risk"/>
    <s v="Critical"/>
    <s v="High CO Impact"/>
  </r>
  <r>
    <s v="OG-1037"/>
    <s v="Midland Well Drilling 38"/>
    <x v="3"/>
    <x v="0"/>
    <s v="Moreno, Walker and Robinson Energy"/>
    <s v="Williams, Beard and Madden Services"/>
    <s v="Active"/>
    <n v="8700643.4100000001"/>
    <n v="7076630.9900000002"/>
    <n v="4367867.68"/>
    <n v="89746.1"/>
    <n v="493557.25"/>
    <n v="2125459.9500000002"/>
    <d v="2026-03-05T00:00:00"/>
    <d v="2026-05-18T00:00:00"/>
    <d v="2026-05-08T00:00:00"/>
    <n v="-10"/>
    <n v="3"/>
    <n v="77379"/>
    <n v="-1624012.42"/>
    <n v="-18.670000000000002"/>
    <n v="0.89"/>
    <s v="Yes"/>
    <s v="Clean"/>
    <s v="Under Budget"/>
    <s v="No Change Orders"/>
  </r>
  <r>
    <s v="OG-1038"/>
    <s v="Gulf Coast Well Drilling 39"/>
    <x v="3"/>
    <x v="3"/>
    <s v="Hale, Garrett and Lee Energy"/>
    <s v="Ramirez PLC Services"/>
    <s v="Completed"/>
    <n v="8906435.7100000009"/>
    <n v="6785828.8700000001"/>
    <n v="1711434.74"/>
    <n v="275493.31"/>
    <n v="2814625.09"/>
    <n v="1984275.73"/>
    <d v="2023-10-05T00:00:00"/>
    <d v="2024-07-11T00:00:00"/>
    <d v="2024-06-29T00:00:00"/>
    <n v="-12"/>
    <n v="2"/>
    <n v="1290.4000000000001"/>
    <n v="-2120606.8400000008"/>
    <n v="-23.81"/>
    <n v="0.01"/>
    <s v="Yes"/>
    <s v="Clean"/>
    <s v="Under Budget"/>
    <s v="No Change Orders"/>
  </r>
  <r>
    <s v="OG-1039"/>
    <s v="Midland Maintenance Turnaround 40"/>
    <x v="0"/>
    <x v="0"/>
    <s v="Smith LLC Energy"/>
    <s v="Nelson, Miller and Johnson Services"/>
    <s v="Over Budget"/>
    <n v="2901725.13"/>
    <n v="3408380.23"/>
    <n v="1329296.8999999999"/>
    <n v="376930.62"/>
    <n v="327038.83"/>
    <n v="1375113.88"/>
    <d v="2023-03-19T00:00:00"/>
    <d v="2023-09-14T00:00:00"/>
    <d v="2023-10-18T00:00:00"/>
    <n v="34"/>
    <n v="5"/>
    <n v="141894.14000000001"/>
    <n v="506655.10000000009"/>
    <n v="17.46"/>
    <n v="4.8899999999999997"/>
    <s v="No"/>
    <s v="High Risk"/>
    <s v="Critical"/>
    <s v="High CO Impact"/>
  </r>
  <r>
    <s v="OG-1040"/>
    <s v="Gulf Coast Well Drilling 41"/>
    <x v="3"/>
    <x v="3"/>
    <s v="Williams PLC Energy"/>
    <s v="Garcia, Wright and Graham Services"/>
    <s v="Completed"/>
    <n v="2818241.62"/>
    <n v="3306746.5"/>
    <n v="623202.96"/>
    <n v="457349.12"/>
    <n v="2017907.62"/>
    <n v="208286.8"/>
    <d v="2025-03-26T00:00:00"/>
    <d v="2026-03-14T00:00:00"/>
    <d v="2026-02-25T00:00:00"/>
    <n v="-17"/>
    <n v="7"/>
    <n v="92502.51"/>
    <n v="488504.87999999989"/>
    <n v="17.329999999999998"/>
    <n v="3.28"/>
    <s v="Yes"/>
    <s v="Medium Risk"/>
    <s v="Critical"/>
    <s v="High CO Impact"/>
  </r>
  <r>
    <s v="OG-1041"/>
    <s v="Eagle Ford Pipeline Construction 42"/>
    <x v="1"/>
    <x v="2"/>
    <s v="Hale, Garrett and Lee Energy"/>
    <s v="Jacobs, Hood and Taylor Services"/>
    <s v="Delayed"/>
    <n v="7393555.2699999996"/>
    <n v="5920135.0099999998"/>
    <n v="1732681.95"/>
    <n v="2452170.56"/>
    <n v="368315.78"/>
    <n v="1366966.73"/>
    <d v="2024-03-25T00:00:00"/>
    <d v="2024-09-28T00:00:00"/>
    <d v="2024-09-22T00:00:00"/>
    <n v="-6"/>
    <n v="2"/>
    <n v="279776.21000000002"/>
    <n v="-1473420.2599999998"/>
    <n v="-19.93"/>
    <n v="3.78"/>
    <s v="Yes"/>
    <s v="Clean"/>
    <s v="Under Budget"/>
    <s v="No Change Orders"/>
  </r>
  <r>
    <s v="OG-1042"/>
    <s v="Eagle Ford Well Drilling 43"/>
    <x v="3"/>
    <x v="2"/>
    <s v="Freeman, Barnes and Gonzalez Energy"/>
    <s v="Shaw, Cabrera and Perry Services"/>
    <s v="Completed"/>
    <n v="8105107.8200000003"/>
    <n v="10088360.810000001"/>
    <n v="6381537.2400000002"/>
    <n v="207744.73"/>
    <n v="896318.31"/>
    <n v="2602760.5299999998"/>
    <d v="2026-01-13T00:00:00"/>
    <d v="2026-10-15T00:00:00"/>
    <d v="2026-10-25T00:00:00"/>
    <n v="10"/>
    <n v="6"/>
    <n v="573763.38"/>
    <n v="1983252.9900000002"/>
    <n v="24.47"/>
    <n v="7.08"/>
    <s v="No"/>
    <s v="High Risk"/>
    <s v="Critical"/>
    <s v="High CO Impact"/>
  </r>
  <r>
    <s v="OG-1043"/>
    <s v="Gulf Coast Facility Upgrade 44"/>
    <x v="2"/>
    <x v="3"/>
    <s v="Silva PLC Energy"/>
    <s v="Jones Ltd Services"/>
    <s v="Completed"/>
    <n v="5345741.49"/>
    <n v="5895004.1699999999"/>
    <n v="2490775.66"/>
    <n v="562129.98"/>
    <n v="1538582.15"/>
    <n v="1303516.3799999999"/>
    <d v="2024-03-03T00:00:00"/>
    <d v="2024-08-06T00:00:00"/>
    <d v="2024-06-28T00:00:00"/>
    <n v="-39"/>
    <n v="1"/>
    <n v="95436.94"/>
    <n v="549262.6799999997"/>
    <n v="10.27"/>
    <n v="1.79"/>
    <s v="Yes"/>
    <s v="Medium Risk"/>
    <s v="Watch"/>
    <s v="Moderate CO Impact"/>
  </r>
  <r>
    <s v="OG-1044"/>
    <s v="Permian Basin Maintenance Turnaround 45"/>
    <x v="0"/>
    <x v="1"/>
    <s v="Munoz PLC Energy"/>
    <s v="Mendoza-Wagner Services"/>
    <s v="Delayed"/>
    <n v="3249539.73"/>
    <n v="3517217.06"/>
    <n v="265249.38"/>
    <n v="1322966.7"/>
    <n v="592506.62"/>
    <n v="1336494.3500000001"/>
    <d v="2023-04-30T00:00:00"/>
    <d v="2023-07-24T00:00:00"/>
    <d v="2023-09-02T00:00:00"/>
    <n v="40"/>
    <n v="4"/>
    <n v="54139.17"/>
    <n v="267677.33000000007"/>
    <n v="8.24"/>
    <n v="1.67"/>
    <s v="No"/>
    <s v="High Risk"/>
    <s v="Watch"/>
    <s v="Moderate CO Impact"/>
  </r>
  <r>
    <s v="OG-1045"/>
    <s v="Eagle Ford Facility Upgrade 46"/>
    <x v="2"/>
    <x v="2"/>
    <s v="Munoz PLC Energy"/>
    <s v="Ramirez PLC Services"/>
    <s v="Delayed"/>
    <n v="2154104.88"/>
    <n v="2542588.9700000002"/>
    <n v="235382.8"/>
    <n v="2084067.19"/>
    <n v="87879.39"/>
    <n v="135259.59"/>
    <d v="2023-05-29T00:00:00"/>
    <d v="2024-01-20T00:00:00"/>
    <d v="2024-01-16T00:00:00"/>
    <n v="-4"/>
    <n v="6"/>
    <n v="41379.25"/>
    <n v="388484.09000000032"/>
    <n v="18.03"/>
    <n v="1.92"/>
    <s v="Yes"/>
    <s v="Medium Risk"/>
    <s v="Critical"/>
    <s v="High CO Impact"/>
  </r>
  <r>
    <s v="OG-1046"/>
    <s v="Eagle Ford Facility Upgrade 47"/>
    <x v="2"/>
    <x v="2"/>
    <s v="Williams and Sons Energy"/>
    <s v="Ellis-Wheeler Services"/>
    <s v="Completed"/>
    <n v="1308449.5"/>
    <n v="1017166.6"/>
    <n v="124335.2"/>
    <n v="198256.89"/>
    <n v="354341.92"/>
    <n v="340232.59"/>
    <d v="2025-10-06T00:00:00"/>
    <d v="2025-12-18T00:00:00"/>
    <d v="2026-01-31T00:00:00"/>
    <n v="44"/>
    <n v="5"/>
    <n v="34091.629999999997"/>
    <n v="-291282.90000000002"/>
    <n v="-22.26"/>
    <n v="2.61"/>
    <s v="No"/>
    <s v="Medium Risk"/>
    <s v="Under Budget"/>
    <s v="No Change Orders"/>
  </r>
  <r>
    <s v="OG-1047"/>
    <s v="Gulf Coast Well Drilling 48"/>
    <x v="3"/>
    <x v="3"/>
    <s v="Munoz PLC Energy"/>
    <s v="Mendoza-Wagner Services"/>
    <s v="Completed"/>
    <n v="13402808.050000001"/>
    <n v="13597034.939999999"/>
    <n v="4966133.1100000003"/>
    <n v="3580931.92"/>
    <n v="4082202.3"/>
    <n v="967767.62"/>
    <d v="2025-03-17T00:00:00"/>
    <d v="2025-09-18T00:00:00"/>
    <d v="2025-09-23T00:00:00"/>
    <n v="5"/>
    <n v="8"/>
    <n v="370173.14"/>
    <n v="194226.88999999873"/>
    <n v="1.45"/>
    <n v="2.76"/>
    <s v="No"/>
    <s v="Medium Risk"/>
    <s v="On Track"/>
    <s v="Low CO Impact"/>
  </r>
  <r>
    <s v="OG-1048"/>
    <s v="Eagle Ford Well Drilling 49"/>
    <x v="3"/>
    <x v="2"/>
    <s v="Freeman, Barnes and Gonzalez Energy"/>
    <s v="Daniel-Duarte Services"/>
    <s v="Over Budget"/>
    <n v="3720727.75"/>
    <n v="4294279.5199999996"/>
    <n v="911834.34"/>
    <n v="2235082.4700000002"/>
    <n v="811622.69"/>
    <n v="335740.02"/>
    <d v="2023-11-07T00:00:00"/>
    <d v="2024-05-16T00:00:00"/>
    <d v="2024-04-12T00:00:00"/>
    <n v="-34"/>
    <n v="1"/>
    <n v="53997.919999999998"/>
    <n v="573551.76999999955"/>
    <n v="15.42"/>
    <n v="1.45"/>
    <s v="Yes"/>
    <s v="Medium Risk"/>
    <s v="Critical"/>
    <s v="High CO Impact"/>
  </r>
  <r>
    <s v="OG-1049"/>
    <s v="Permian Basin Maintenance Turnaround 50"/>
    <x v="0"/>
    <x v="1"/>
    <s v="Munoz PLC Energy"/>
    <s v="Harris, Lynn and Aguilar Services"/>
    <s v="Delayed"/>
    <n v="7708954.04"/>
    <n v="6775095.5199999996"/>
    <n v="1916824.16"/>
    <n v="1228758.53"/>
    <n v="2687292.34"/>
    <n v="942220.49"/>
    <d v="2025-05-08T00:00:00"/>
    <d v="2026-04-18T00:00:00"/>
    <d v="2026-05-12T00:00:00"/>
    <n v="24"/>
    <n v="6"/>
    <n v="798925.41"/>
    <n v="-933858.52000000048"/>
    <n v="-12.11"/>
    <n v="10.36"/>
    <s v="No"/>
    <s v="Medium Risk"/>
    <s v="Under Budget"/>
    <s v="No Change Ord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0815E-1E60-41BC-82E0-7CDDE7FB39E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0:B15" firstHeaderRow="1" firstDataRow="1" firstDataCol="1"/>
  <pivotFields count="26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hedule_Variance_Days" fld="16" subtotal="average" baseField="3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97F79-0128-492C-B3CB-0A4F5AA8B1B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26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st_Variance_Pct" fld="20" subtotal="average" baseField="2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32BD55-5E38-4C7B-95BF-6CD1DEDA09CE}" autoFormatId="16" applyNumberFormats="0" applyBorderFormats="0" applyFontFormats="0" applyPatternFormats="0" applyAlignmentFormats="0" applyWidthHeightFormats="0">
  <queryTableRefresh nextId="27" unboundColumnsRight="3">
    <queryTableFields count="26">
      <queryTableField id="1" name="Project_ID" tableColumnId="1"/>
      <queryTableField id="2" name="Project_Name" tableColumnId="2"/>
      <queryTableField id="3" name="Project_Type" tableColumnId="3"/>
      <queryTableField id="4" name="Region" tableColumnId="4"/>
      <queryTableField id="5" name="Operator" tableColumnId="5"/>
      <queryTableField id="6" name="Subcontractor" tableColumnId="6"/>
      <queryTableField id="7" name="Status" tableColumnId="7"/>
      <queryTableField id="8" name="Budgeted_Cost" tableColumnId="8"/>
      <queryTableField id="9" name="Actual_Cost" tableColumnId="9"/>
      <queryTableField id="10" name="Phase_Planning" tableColumnId="10"/>
      <queryTableField id="11" name="Phase_Drilling_Construction" tableColumnId="11"/>
      <queryTableField id="12" name="Phase_Completion" tableColumnId="12"/>
      <queryTableField id="13" name="Phase_Closeout" tableColumnId="13"/>
      <queryTableField id="14" name="Planned_Start" tableColumnId="14"/>
      <queryTableField id="15" name="Planned_End" tableColumnId="15"/>
      <queryTableField id="16" name="Actual_End" tableColumnId="16"/>
      <queryTableField id="17" name="Schedule_Variance_Days" tableColumnId="17"/>
      <queryTableField id="18" name="Change_Order_Count" tableColumnId="18"/>
      <queryTableField id="19" name="Change_Order_Cost" tableColumnId="19"/>
      <queryTableField id="20" name="Cost_Variance" tableColumnId="20"/>
      <queryTableField id="21" name="Cost_Variance_Pct" tableColumnId="21"/>
      <queryTableField id="22" name="Change_Order_Budget_Impact_Pct" tableColumnId="22"/>
      <queryTableField id="23" name="On_Time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927D7-CFB4-4331-913A-E289A4722F63}" name="ProjectData" displayName="ProjectData" ref="A1:Z51" tableType="queryTable" totalsRowShown="0">
  <autoFilter ref="A1:Z51" xr:uid="{21B927D7-CFB4-4331-913A-E289A4722F63}"/>
  <tableColumns count="26">
    <tableColumn id="1" xr3:uid="{41D37DDA-B172-49B7-8656-9410AB3F0D8B}" uniqueName="1" name="Project_ID" queryTableFieldId="1" dataDxfId="13"/>
    <tableColumn id="2" xr3:uid="{32C03C23-03A2-4831-A232-D0C1B95509C0}" uniqueName="2" name="Project_Name" queryTableFieldId="2" dataDxfId="12"/>
    <tableColumn id="3" xr3:uid="{ABD31352-9540-466F-BDAB-01B60A870FDA}" uniqueName="3" name="Project_Type" queryTableFieldId="3" dataDxfId="11"/>
    <tableColumn id="4" xr3:uid="{16C91787-46D7-4EFF-99AA-5BB1F37B0653}" uniqueName="4" name="Region" queryTableFieldId="4" dataDxfId="10"/>
    <tableColumn id="5" xr3:uid="{D60CB8DE-E0BA-46BC-83B9-E83BD2AA2755}" uniqueName="5" name="Operator" queryTableFieldId="5" dataDxfId="9"/>
    <tableColumn id="6" xr3:uid="{07D447B7-C4A1-4FD3-A69B-6783E3CD5C3A}" uniqueName="6" name="Subcontractor" queryTableFieldId="6" dataDxfId="8"/>
    <tableColumn id="7" xr3:uid="{E5397AC6-278A-4D54-95FC-91EB99743192}" uniqueName="7" name="Status" queryTableFieldId="7" dataDxfId="7"/>
    <tableColumn id="8" xr3:uid="{77349284-293B-42C8-A5C8-2A5DAA988FA6}" uniqueName="8" name="Budgeted_Cost" queryTableFieldId="8"/>
    <tableColumn id="9" xr3:uid="{A4ED1DA0-F406-4124-8019-05C77FC34170}" uniqueName="9" name="Actual_Cost" queryTableFieldId="9"/>
    <tableColumn id="10" xr3:uid="{F0089662-78F4-4E3B-A868-A6311BEAE92B}" uniqueName="10" name="Phase_Planning" queryTableFieldId="10"/>
    <tableColumn id="11" xr3:uid="{05D5810A-E145-4517-8F2D-88708F6164C1}" uniqueName="11" name="Phase_Drilling_Construction" queryTableFieldId="11"/>
    <tableColumn id="12" xr3:uid="{A26253B5-7407-4F5B-9B02-3406F3E3FB4F}" uniqueName="12" name="Phase_Completion" queryTableFieldId="12"/>
    <tableColumn id="13" xr3:uid="{C08442CF-2D44-43FE-90F2-A4F9B65E6748}" uniqueName="13" name="Phase_Closeout" queryTableFieldId="13"/>
    <tableColumn id="14" xr3:uid="{3BF246E3-5F48-4338-A6A3-B5689EFECA04}" uniqueName="14" name="Planned_Start" queryTableFieldId="14" dataDxfId="2"/>
    <tableColumn id="15" xr3:uid="{34529257-53F2-4D8A-8162-E28D05C5D6F8}" uniqueName="15" name="Planned_End" queryTableFieldId="15" dataDxfId="1"/>
    <tableColumn id="16" xr3:uid="{FC98E4C6-166C-4AAB-B051-F369E192A2C9}" uniqueName="16" name="Actual_End" queryTableFieldId="16" dataDxfId="0"/>
    <tableColumn id="17" xr3:uid="{A8264028-8902-40B6-AFA4-8AE47F5E0C2A}" uniqueName="17" name="Schedule_Variance_Days" queryTableFieldId="17"/>
    <tableColumn id="18" xr3:uid="{6EECB001-35AC-4C4D-BF80-370D6B42B15F}" uniqueName="18" name="Change_Order_Count" queryTableFieldId="18"/>
    <tableColumn id="19" xr3:uid="{E6CC3761-27A1-4C82-B972-7F1B807C4F8C}" uniqueName="19" name="Change_Order_Cost" queryTableFieldId="19"/>
    <tableColumn id="20" xr3:uid="{B81ABCD0-842B-44A6-930C-411540EA2647}" uniqueName="20" name="Cost_Variance" queryTableFieldId="20"/>
    <tableColumn id="21" xr3:uid="{F432D47E-954C-47B5-B7BF-419F0E77EFD8}" uniqueName="21" name="Cost_Variance_Pct" queryTableFieldId="21"/>
    <tableColumn id="22" xr3:uid="{7AE09BD2-FCE1-4BBA-A0BA-0533535287BE}" uniqueName="22" name="Change_Order_Budget_Impact_Pct" queryTableFieldId="22"/>
    <tableColumn id="23" xr3:uid="{A4BEA62B-AFB0-4C8D-BCB6-4BE2CFFF827F}" uniqueName="23" name="On_Time" queryTableFieldId="23" dataDxfId="6"/>
    <tableColumn id="24" xr3:uid="{B6ADFB9C-27ED-4C27-83A5-CBD4B313FA61}" uniqueName="24" name="Risk_Flag" queryTableFieldId="24" dataDxfId="5">
      <calculatedColumnFormula array="1">_xlfn.IFS(AND(U2&gt;5,W2="No"),"High Risk",OR(U2&gt;5,W2="No"),"Medium Risk",TRUE,"Clean")</calculatedColumnFormula>
    </tableColumn>
    <tableColumn id="25" xr3:uid="{1FEE0742-1F47-4B87-87C7-F4A600255475}" uniqueName="25" name="Budget_Health" queryTableFieldId="25" dataDxfId="4">
      <calculatedColumnFormula array="1">IFERROR(_xlfn.IFS(U2&gt;=15,"Critical",U2&gt;=5,"Watch",U2&gt;=-10,"On Track",U2&lt;-10,"Under Budget"),"No Data")</calculatedColumnFormula>
    </tableColumn>
    <tableColumn id="26" xr3:uid="{79D9E045-3387-4845-B0FB-84FDD6543B8F}" uniqueName="26" name="Change_Order_Risk" queryTableFieldId="26" dataDxfId="3">
      <calculatedColumnFormula array="1">IFERROR(_xlfn.IFS(U2&gt;15,"High CO Impact",U2&gt;5,"Moderate CO Impact",U2&gt;0,"Low CO Impact",TRUE,"No Change Orders"),"No Data")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4C1A-E0AE-4A3D-87C6-78ACA38742D2}">
  <sheetPr>
    <tabColor theme="1" tint="4.9989318521683403E-2"/>
  </sheetPr>
  <dimension ref="A1:Z51"/>
  <sheetViews>
    <sheetView topLeftCell="A2" workbookViewId="0">
      <selection sqref="A1:Z51"/>
    </sheetView>
  </sheetViews>
  <sheetFormatPr defaultRowHeight="15" x14ac:dyDescent="0.25"/>
  <cols>
    <col min="1" max="1" width="12.5703125" bestFit="1" customWidth="1"/>
    <col min="2" max="2" width="40" bestFit="1" customWidth="1"/>
    <col min="3" max="3" width="23.7109375" bestFit="1" customWidth="1"/>
    <col min="4" max="4" width="14" bestFit="1" customWidth="1"/>
    <col min="5" max="5" width="35.140625" bestFit="1" customWidth="1"/>
    <col min="6" max="6" width="36" bestFit="1" customWidth="1"/>
    <col min="7" max="7" width="11.42578125" bestFit="1" customWidth="1"/>
    <col min="8" max="8" width="17.140625" bestFit="1" customWidth="1"/>
    <col min="9" max="9" width="14" bestFit="1" customWidth="1"/>
    <col min="10" max="10" width="17.42578125" bestFit="1" customWidth="1"/>
    <col min="11" max="11" width="29.42578125" bestFit="1" customWidth="1"/>
    <col min="12" max="12" width="20.5703125" bestFit="1" customWidth="1"/>
    <col min="13" max="13" width="18" bestFit="1" customWidth="1"/>
    <col min="14" max="14" width="15.85546875" bestFit="1" customWidth="1"/>
    <col min="15" max="15" width="14.85546875" bestFit="1" customWidth="1"/>
    <col min="16" max="16" width="13.140625" bestFit="1" customWidth="1"/>
    <col min="17" max="17" width="26" bestFit="1" customWidth="1"/>
    <col min="18" max="18" width="22.85546875" bestFit="1" customWidth="1"/>
    <col min="19" max="19" width="21.5703125" bestFit="1" customWidth="1"/>
    <col min="20" max="20" width="16.28515625" bestFit="1" customWidth="1"/>
    <col min="21" max="21" width="20.140625" bestFit="1" customWidth="1"/>
    <col min="22" max="22" width="34.7109375" bestFit="1" customWidth="1"/>
    <col min="23" max="23" width="11.140625" bestFit="1" customWidth="1"/>
    <col min="24" max="24" width="12.28515625" bestFit="1" customWidth="1"/>
    <col min="25" max="25" width="16.5703125" bestFit="1" customWidth="1"/>
    <col min="26" max="26" width="21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" t="s">
        <v>87</v>
      </c>
      <c r="Y1" s="4" t="s">
        <v>88</v>
      </c>
      <c r="Z1" s="5" t="s">
        <v>89</v>
      </c>
    </row>
    <row r="2" spans="1:26" x14ac:dyDescent="0.25">
      <c r="A2" t="s">
        <v>23</v>
      </c>
      <c r="B2" t="s">
        <v>95</v>
      </c>
      <c r="C2" t="s">
        <v>91</v>
      </c>
      <c r="D2" t="s">
        <v>40</v>
      </c>
      <c r="E2" t="s">
        <v>162</v>
      </c>
      <c r="F2" t="s">
        <v>163</v>
      </c>
      <c r="G2" t="s">
        <v>26</v>
      </c>
      <c r="H2">
        <v>9191866.9600000009</v>
      </c>
      <c r="I2">
        <v>9983647.7599999998</v>
      </c>
      <c r="J2">
        <v>1631312.81</v>
      </c>
      <c r="K2">
        <v>4253314.74</v>
      </c>
      <c r="L2">
        <v>77843.570000000007</v>
      </c>
      <c r="M2">
        <v>4021176.63</v>
      </c>
      <c r="N2" s="1">
        <v>45914</v>
      </c>
      <c r="O2" s="1">
        <v>46091</v>
      </c>
      <c r="P2" s="1">
        <v>46096</v>
      </c>
      <c r="Q2">
        <v>5</v>
      </c>
      <c r="R2">
        <v>3</v>
      </c>
      <c r="S2">
        <v>82671.62</v>
      </c>
      <c r="T2">
        <v>791780.79999999888</v>
      </c>
      <c r="U2">
        <v>8.61</v>
      </c>
      <c r="V2">
        <v>0.9</v>
      </c>
      <c r="W2" t="s">
        <v>30</v>
      </c>
      <c r="X2" t="str" cm="1">
        <f t="array" ref="X2">_xlfn.IFS(AND(U2&gt;5,W2="No"),"High Risk",OR(U2&gt;5,W2="No"),"Medium Risk",TRUE,"Clean")</f>
        <v>High Risk</v>
      </c>
      <c r="Y2" t="str" cm="1">
        <f t="array" ref="Y2">IFERROR(_xlfn.IFS(U2&gt;=15,"Critical",U2&gt;=5,"Watch",U2&gt;=-10,"On Track",U2&lt;-10,"Under Budget"),"No Data")</f>
        <v>Watch</v>
      </c>
      <c r="Z2" t="str" cm="1">
        <f t="array" ref="Z2">IFERROR(_xlfn.IFS(U2&gt;15,"High CO Impact",U2&gt;5,"Moderate CO Impact",U2&gt;0,"Low CO Impact",TRUE,"No Change Orders"),"No Data")</f>
        <v>Moderate CO Impact</v>
      </c>
    </row>
    <row r="3" spans="1:26" x14ac:dyDescent="0.25">
      <c r="A3" t="s">
        <v>28</v>
      </c>
      <c r="B3" t="s">
        <v>90</v>
      </c>
      <c r="C3" t="s">
        <v>91</v>
      </c>
      <c r="D3" t="s">
        <v>25</v>
      </c>
      <c r="E3" t="s">
        <v>164</v>
      </c>
      <c r="F3" t="s">
        <v>165</v>
      </c>
      <c r="G3" t="s">
        <v>33</v>
      </c>
      <c r="H3">
        <v>7594486.8899999997</v>
      </c>
      <c r="I3">
        <v>6826010.25</v>
      </c>
      <c r="J3">
        <v>52705.62</v>
      </c>
      <c r="K3">
        <v>5146957.7</v>
      </c>
      <c r="L3">
        <v>7548.71</v>
      </c>
      <c r="M3">
        <v>1618798.22</v>
      </c>
      <c r="N3" s="1">
        <v>45480</v>
      </c>
      <c r="O3" s="1">
        <v>45755</v>
      </c>
      <c r="P3" s="1">
        <v>45777</v>
      </c>
      <c r="Q3">
        <v>22</v>
      </c>
      <c r="R3">
        <v>3</v>
      </c>
      <c r="S3">
        <v>406316.03</v>
      </c>
      <c r="T3">
        <v>-768476.63999999966</v>
      </c>
      <c r="U3">
        <v>-10.119999999999999</v>
      </c>
      <c r="V3">
        <v>5.35</v>
      </c>
      <c r="W3" t="s">
        <v>30</v>
      </c>
      <c r="X3" t="str" cm="1">
        <f t="array" ref="X3">_xlfn.IFS(AND(U3&gt;5,W3="No"),"High Risk",OR(U3&gt;5,W3="No"),"Medium Risk",TRUE,"Clean")</f>
        <v>Medium Risk</v>
      </c>
      <c r="Y3" t="str" cm="1">
        <f t="array" ref="Y3">IFERROR(_xlfn.IFS(U3&gt;=15,"Critical",U3&gt;=5,"Watch",U3&gt;=-10,"On Track",U3&lt;-10,"Under Budget"),"No Data")</f>
        <v>Under Budget</v>
      </c>
      <c r="Z3" t="str" cm="1">
        <f t="array" ref="Z3">IFERROR(_xlfn.IFS(U3&gt;15,"High CO Impact",U3&gt;5,"Moderate CO Impact",U3&gt;0,"Low CO Impact",TRUE,"No Change Orders"),"No Data")</f>
        <v>No Change Orders</v>
      </c>
    </row>
    <row r="4" spans="1:26" x14ac:dyDescent="0.25">
      <c r="A4" t="s">
        <v>31</v>
      </c>
      <c r="B4" t="s">
        <v>96</v>
      </c>
      <c r="C4" t="s">
        <v>35</v>
      </c>
      <c r="D4" t="s">
        <v>32</v>
      </c>
      <c r="E4" t="s">
        <v>166</v>
      </c>
      <c r="F4" t="s">
        <v>167</v>
      </c>
      <c r="G4" t="s">
        <v>26</v>
      </c>
      <c r="H4">
        <v>10078234.49</v>
      </c>
      <c r="I4">
        <v>9460634.9199999999</v>
      </c>
      <c r="J4">
        <v>862300.13</v>
      </c>
      <c r="K4">
        <v>3345838.09</v>
      </c>
      <c r="L4">
        <v>636786.39</v>
      </c>
      <c r="M4">
        <v>4615710.3</v>
      </c>
      <c r="N4" s="1">
        <v>46086</v>
      </c>
      <c r="O4" s="1">
        <v>46436</v>
      </c>
      <c r="P4" s="1">
        <v>46438</v>
      </c>
      <c r="Q4">
        <v>2</v>
      </c>
      <c r="R4">
        <v>5</v>
      </c>
      <c r="S4">
        <v>94066.41</v>
      </c>
      <c r="T4">
        <v>-617599.5700000003</v>
      </c>
      <c r="U4">
        <v>-6.13</v>
      </c>
      <c r="V4">
        <v>0.93</v>
      </c>
      <c r="W4" t="s">
        <v>30</v>
      </c>
      <c r="X4" t="str" cm="1">
        <f t="array" ref="X4">_xlfn.IFS(AND(U4&gt;5,W4="No"),"High Risk",OR(U4&gt;5,W4="No"),"Medium Risk",TRUE,"Clean")</f>
        <v>Medium Risk</v>
      </c>
      <c r="Y4" t="str" cm="1">
        <f t="array" ref="Y4">IFERROR(_xlfn.IFS(U4&gt;=15,"Critical",U4&gt;=5,"Watch",U4&gt;=-10,"On Track",U4&lt;-10,"Under Budget"),"No Data")</f>
        <v>On Track</v>
      </c>
      <c r="Z4" t="str" cm="1">
        <f t="array" ref="Z4">IFERROR(_xlfn.IFS(U4&gt;15,"High CO Impact",U4&gt;5,"Moderate CO Impact",U4&gt;0,"Low CO Impact",TRUE,"No Change Orders"),"No Data")</f>
        <v>No Change Orders</v>
      </c>
    </row>
    <row r="5" spans="1:26" x14ac:dyDescent="0.25">
      <c r="A5" t="s">
        <v>34</v>
      </c>
      <c r="B5" t="s">
        <v>97</v>
      </c>
      <c r="C5" t="s">
        <v>37</v>
      </c>
      <c r="D5" t="s">
        <v>40</v>
      </c>
      <c r="E5" t="s">
        <v>168</v>
      </c>
      <c r="F5" t="s">
        <v>169</v>
      </c>
      <c r="G5" t="s">
        <v>26</v>
      </c>
      <c r="H5">
        <v>4406288.62</v>
      </c>
      <c r="I5">
        <v>3510959.62</v>
      </c>
      <c r="J5">
        <v>1919321.87</v>
      </c>
      <c r="K5">
        <v>272019.44</v>
      </c>
      <c r="L5">
        <v>924281.32</v>
      </c>
      <c r="M5">
        <v>395336.99</v>
      </c>
      <c r="N5" s="1">
        <v>45915</v>
      </c>
      <c r="O5" s="1">
        <v>45978</v>
      </c>
      <c r="P5" s="1">
        <v>46006</v>
      </c>
      <c r="Q5">
        <v>28</v>
      </c>
      <c r="R5">
        <v>6</v>
      </c>
      <c r="S5">
        <v>121209.05</v>
      </c>
      <c r="T5">
        <v>-895329</v>
      </c>
      <c r="U5">
        <v>-20.32</v>
      </c>
      <c r="V5">
        <v>2.75</v>
      </c>
      <c r="W5" t="s">
        <v>30</v>
      </c>
      <c r="X5" t="str" cm="1">
        <f t="array" ref="X5">_xlfn.IFS(AND(U5&gt;5,W5="No"),"High Risk",OR(U5&gt;5,W5="No"),"Medium Risk",TRUE,"Clean")</f>
        <v>Medium Risk</v>
      </c>
      <c r="Y5" t="str" cm="1">
        <f t="array" ref="Y5">IFERROR(_xlfn.IFS(U5&gt;=15,"Critical",U5&gt;=5,"Watch",U5&gt;=-10,"On Track",U5&lt;-10,"Under Budget"),"No Data")</f>
        <v>Under Budget</v>
      </c>
      <c r="Z5" t="str" cm="1">
        <f t="array" ref="Z5">IFERROR(_xlfn.IFS(U5&gt;15,"High CO Impact",U5&gt;5,"Moderate CO Impact",U5&gt;0,"Low CO Impact",TRUE,"No Change Orders"),"No Data")</f>
        <v>No Change Orders</v>
      </c>
    </row>
    <row r="6" spans="1:26" x14ac:dyDescent="0.25">
      <c r="A6" t="s">
        <v>36</v>
      </c>
      <c r="B6" t="s">
        <v>98</v>
      </c>
      <c r="C6" t="s">
        <v>35</v>
      </c>
      <c r="D6" t="s">
        <v>40</v>
      </c>
      <c r="E6" t="s">
        <v>168</v>
      </c>
      <c r="F6" t="s">
        <v>170</v>
      </c>
      <c r="G6" t="s">
        <v>92</v>
      </c>
      <c r="H6">
        <v>5684111.4100000001</v>
      </c>
      <c r="I6">
        <v>6616426.6600000001</v>
      </c>
      <c r="J6">
        <v>864928.92</v>
      </c>
      <c r="K6">
        <v>3574456.57</v>
      </c>
      <c r="L6">
        <v>345373.41</v>
      </c>
      <c r="M6">
        <v>1831667.76</v>
      </c>
      <c r="N6" s="1">
        <v>45235</v>
      </c>
      <c r="O6" s="1">
        <v>45405</v>
      </c>
      <c r="P6" s="1">
        <v>45369</v>
      </c>
      <c r="Q6">
        <v>-36</v>
      </c>
      <c r="R6">
        <v>2</v>
      </c>
      <c r="S6">
        <v>191201.42</v>
      </c>
      <c r="T6">
        <v>932315.25</v>
      </c>
      <c r="U6">
        <v>16.399999999999999</v>
      </c>
      <c r="V6">
        <v>3.36</v>
      </c>
      <c r="W6" t="s">
        <v>27</v>
      </c>
      <c r="X6" t="str" cm="1">
        <f t="array" ref="X6">_xlfn.IFS(AND(U6&gt;5,W6="No"),"High Risk",OR(U6&gt;5,W6="No"),"Medium Risk",TRUE,"Clean")</f>
        <v>Medium Risk</v>
      </c>
      <c r="Y6" t="str" cm="1">
        <f t="array" ref="Y6">IFERROR(_xlfn.IFS(U6&gt;=15,"Critical",U6&gt;=5,"Watch",U6&gt;=-10,"On Track",U6&lt;-10,"Under Budget"),"No Data")</f>
        <v>Critical</v>
      </c>
      <c r="Z6" t="str" cm="1">
        <f t="array" ref="Z6">IFERROR(_xlfn.IFS(U6&gt;15,"High CO Impact",U6&gt;5,"Moderate CO Impact",U6&gt;0,"Low CO Impact",TRUE,"No Change Orders"),"No Data")</f>
        <v>High CO Impact</v>
      </c>
    </row>
    <row r="7" spans="1:26" x14ac:dyDescent="0.25">
      <c r="A7" t="s">
        <v>38</v>
      </c>
      <c r="B7" t="s">
        <v>99</v>
      </c>
      <c r="C7" t="s">
        <v>35</v>
      </c>
      <c r="D7" t="s">
        <v>32</v>
      </c>
      <c r="E7" t="s">
        <v>168</v>
      </c>
      <c r="F7" t="s">
        <v>171</v>
      </c>
      <c r="G7" t="s">
        <v>92</v>
      </c>
      <c r="H7">
        <v>2091990.07</v>
      </c>
      <c r="I7">
        <v>1719627.34</v>
      </c>
      <c r="J7">
        <v>332165.61</v>
      </c>
      <c r="K7">
        <v>901791.09</v>
      </c>
      <c r="L7">
        <v>112517.4</v>
      </c>
      <c r="M7">
        <v>373153.24</v>
      </c>
      <c r="N7" s="1">
        <v>45088</v>
      </c>
      <c r="O7" s="1">
        <v>45235</v>
      </c>
      <c r="P7" s="1">
        <v>45191</v>
      </c>
      <c r="Q7">
        <v>-44</v>
      </c>
      <c r="R7">
        <v>7</v>
      </c>
      <c r="S7">
        <v>225325.51</v>
      </c>
      <c r="T7">
        <v>-372362.73</v>
      </c>
      <c r="U7">
        <v>-17.8</v>
      </c>
      <c r="V7">
        <v>10.77</v>
      </c>
      <c r="W7" t="s">
        <v>27</v>
      </c>
      <c r="X7" t="str" cm="1">
        <f t="array" ref="X7">_xlfn.IFS(AND(U7&gt;5,W7="No"),"High Risk",OR(U7&gt;5,W7="No"),"Medium Risk",TRUE,"Clean")</f>
        <v>Clean</v>
      </c>
      <c r="Y7" t="str" cm="1">
        <f t="array" ref="Y7">IFERROR(_xlfn.IFS(U7&gt;=15,"Critical",U7&gt;=5,"Watch",U7&gt;=-10,"On Track",U7&lt;-10,"Under Budget"),"No Data")</f>
        <v>Under Budget</v>
      </c>
      <c r="Z7" t="str" cm="1">
        <f t="array" ref="Z7">IFERROR(_xlfn.IFS(U7&gt;15,"High CO Impact",U7&gt;5,"Moderate CO Impact",U7&gt;0,"Low CO Impact",TRUE,"No Change Orders"),"No Data")</f>
        <v>No Change Orders</v>
      </c>
    </row>
    <row r="8" spans="1:26" x14ac:dyDescent="0.25">
      <c r="A8" t="s">
        <v>39</v>
      </c>
      <c r="B8" t="s">
        <v>100</v>
      </c>
      <c r="C8" t="s">
        <v>91</v>
      </c>
      <c r="D8" t="s">
        <v>25</v>
      </c>
      <c r="E8" t="s">
        <v>172</v>
      </c>
      <c r="F8" t="s">
        <v>173</v>
      </c>
      <c r="G8" t="s">
        <v>92</v>
      </c>
      <c r="H8">
        <v>4992200.42</v>
      </c>
      <c r="I8">
        <v>5987256.2599999998</v>
      </c>
      <c r="J8">
        <v>1090533.6000000001</v>
      </c>
      <c r="K8">
        <v>248890.56</v>
      </c>
      <c r="L8">
        <v>3587711.66</v>
      </c>
      <c r="M8">
        <v>1060120.44</v>
      </c>
      <c r="N8" s="1">
        <v>45453</v>
      </c>
      <c r="O8" s="1">
        <v>45515</v>
      </c>
      <c r="P8" s="1">
        <v>45474</v>
      </c>
      <c r="Q8">
        <v>-41</v>
      </c>
      <c r="R8">
        <v>6</v>
      </c>
      <c r="S8">
        <v>222198.78</v>
      </c>
      <c r="T8">
        <v>995055.83999999985</v>
      </c>
      <c r="U8">
        <v>19.93</v>
      </c>
      <c r="V8">
        <v>4.45</v>
      </c>
      <c r="W8" t="s">
        <v>27</v>
      </c>
      <c r="X8" t="str" cm="1">
        <f t="array" ref="X8">_xlfn.IFS(AND(U8&gt;5,W8="No"),"High Risk",OR(U8&gt;5,W8="No"),"Medium Risk",TRUE,"Clean")</f>
        <v>Medium Risk</v>
      </c>
      <c r="Y8" t="str" cm="1">
        <f t="array" ref="Y8">IFERROR(_xlfn.IFS(U8&gt;=15,"Critical",U8&gt;=5,"Watch",U8&gt;=-10,"On Track",U8&lt;-10,"Under Budget"),"No Data")</f>
        <v>Critical</v>
      </c>
      <c r="Z8" t="str" cm="1">
        <f t="array" ref="Z8">IFERROR(_xlfn.IFS(U8&gt;15,"High CO Impact",U8&gt;5,"Moderate CO Impact",U8&gt;0,"Low CO Impact",TRUE,"No Change Orders"),"No Data")</f>
        <v>High CO Impact</v>
      </c>
    </row>
    <row r="9" spans="1:26" x14ac:dyDescent="0.25">
      <c r="A9" t="s">
        <v>41</v>
      </c>
      <c r="B9" t="s">
        <v>101</v>
      </c>
      <c r="C9" t="s">
        <v>24</v>
      </c>
      <c r="D9" t="s">
        <v>32</v>
      </c>
      <c r="E9" t="s">
        <v>166</v>
      </c>
      <c r="F9" t="s">
        <v>174</v>
      </c>
      <c r="G9" t="s">
        <v>92</v>
      </c>
      <c r="H9">
        <v>4234860.32</v>
      </c>
      <c r="I9">
        <v>4287535.29</v>
      </c>
      <c r="J9">
        <v>926970.18</v>
      </c>
      <c r="K9">
        <v>1462707.75</v>
      </c>
      <c r="L9">
        <v>1633748.48</v>
      </c>
      <c r="M9">
        <v>264108.88</v>
      </c>
      <c r="N9" s="1">
        <v>45279</v>
      </c>
      <c r="O9" s="1">
        <v>45545</v>
      </c>
      <c r="P9" s="1">
        <v>45587</v>
      </c>
      <c r="Q9">
        <v>42</v>
      </c>
      <c r="R9">
        <v>2</v>
      </c>
      <c r="S9">
        <v>67424.84</v>
      </c>
      <c r="T9">
        <v>52674.969999999739</v>
      </c>
      <c r="U9">
        <v>1.24</v>
      </c>
      <c r="V9">
        <v>1.59</v>
      </c>
      <c r="W9" t="s">
        <v>30</v>
      </c>
      <c r="X9" t="str" cm="1">
        <f t="array" ref="X9">_xlfn.IFS(AND(U9&gt;5,W9="No"),"High Risk",OR(U9&gt;5,W9="No"),"Medium Risk",TRUE,"Clean")</f>
        <v>Medium Risk</v>
      </c>
      <c r="Y9" t="str" cm="1">
        <f t="array" ref="Y9">IFERROR(_xlfn.IFS(U9&gt;=15,"Critical",U9&gt;=5,"Watch",U9&gt;=-10,"On Track",U9&lt;-10,"Under Budget"),"No Data")</f>
        <v>On Track</v>
      </c>
      <c r="Z9" t="str" cm="1">
        <f t="array" ref="Z9">IFERROR(_xlfn.IFS(U9&gt;15,"High CO Impact",U9&gt;5,"Moderate CO Impact",U9&gt;0,"Low CO Impact",TRUE,"No Change Orders"),"No Data")</f>
        <v>Low CO Impact</v>
      </c>
    </row>
    <row r="10" spans="1:26" x14ac:dyDescent="0.25">
      <c r="A10" t="s">
        <v>42</v>
      </c>
      <c r="B10" t="s">
        <v>102</v>
      </c>
      <c r="C10" t="s">
        <v>35</v>
      </c>
      <c r="D10" t="s">
        <v>32</v>
      </c>
      <c r="E10" t="s">
        <v>164</v>
      </c>
      <c r="F10" t="s">
        <v>175</v>
      </c>
      <c r="G10" t="s">
        <v>33</v>
      </c>
      <c r="H10">
        <v>14147739.42</v>
      </c>
      <c r="I10">
        <v>13908912.380000001</v>
      </c>
      <c r="J10">
        <v>2362526.83</v>
      </c>
      <c r="K10">
        <v>6141335.9199999999</v>
      </c>
      <c r="L10">
        <v>3649887.55</v>
      </c>
      <c r="M10">
        <v>1755162.08</v>
      </c>
      <c r="N10" s="1">
        <v>45920</v>
      </c>
      <c r="O10" s="1">
        <v>46043</v>
      </c>
      <c r="P10" s="1">
        <v>46080</v>
      </c>
      <c r="Q10">
        <v>37</v>
      </c>
      <c r="R10">
        <v>1</v>
      </c>
      <c r="S10">
        <v>37789.78</v>
      </c>
      <c r="T10">
        <v>-238827.03999999911</v>
      </c>
      <c r="U10">
        <v>-1.69</v>
      </c>
      <c r="V10">
        <v>0.27</v>
      </c>
      <c r="W10" t="s">
        <v>30</v>
      </c>
      <c r="X10" t="str" cm="1">
        <f t="array" ref="X10">_xlfn.IFS(AND(U10&gt;5,W10="No"),"High Risk",OR(U10&gt;5,W10="No"),"Medium Risk",TRUE,"Clean")</f>
        <v>Medium Risk</v>
      </c>
      <c r="Y10" t="str" cm="1">
        <f t="array" ref="Y10">IFERROR(_xlfn.IFS(U10&gt;=15,"Critical",U10&gt;=5,"Watch",U10&gt;=-10,"On Track",U10&lt;-10,"Under Budget"),"No Data")</f>
        <v>On Track</v>
      </c>
      <c r="Z10" t="str" cm="1">
        <f t="array" ref="Z10">IFERROR(_xlfn.IFS(U10&gt;15,"High CO Impact",U10&gt;5,"Moderate CO Impact",U10&gt;0,"Low CO Impact",TRUE,"No Change Orders"),"No Data")</f>
        <v>No Change Orders</v>
      </c>
    </row>
    <row r="11" spans="1:26" x14ac:dyDescent="0.25">
      <c r="A11" t="s">
        <v>43</v>
      </c>
      <c r="B11" t="s">
        <v>103</v>
      </c>
      <c r="C11" t="s">
        <v>35</v>
      </c>
      <c r="D11" t="s">
        <v>40</v>
      </c>
      <c r="E11" t="s">
        <v>172</v>
      </c>
      <c r="F11" t="s">
        <v>163</v>
      </c>
      <c r="G11" t="s">
        <v>29</v>
      </c>
      <c r="H11">
        <v>13899941.42</v>
      </c>
      <c r="I11">
        <v>16952211.649999999</v>
      </c>
      <c r="J11">
        <v>5550694.4800000004</v>
      </c>
      <c r="K11">
        <v>1732148.71</v>
      </c>
      <c r="L11">
        <v>3846544.54</v>
      </c>
      <c r="M11">
        <v>5822823.9199999999</v>
      </c>
      <c r="N11" s="1">
        <v>45173</v>
      </c>
      <c r="O11" s="1">
        <v>45520</v>
      </c>
      <c r="P11" s="1">
        <v>45483</v>
      </c>
      <c r="Q11">
        <v>-37</v>
      </c>
      <c r="R11">
        <v>5</v>
      </c>
      <c r="S11">
        <v>1204969.31</v>
      </c>
      <c r="T11">
        <v>3052270.2299999986</v>
      </c>
      <c r="U11">
        <v>21.96</v>
      </c>
      <c r="V11">
        <v>8.67</v>
      </c>
      <c r="W11" t="s">
        <v>27</v>
      </c>
      <c r="X11" t="str" cm="1">
        <f t="array" ref="X11">_xlfn.IFS(AND(U11&gt;5,W11="No"),"High Risk",OR(U11&gt;5,W11="No"),"Medium Risk",TRUE,"Clean")</f>
        <v>Medium Risk</v>
      </c>
      <c r="Y11" t="str" cm="1">
        <f t="array" ref="Y11">IFERROR(_xlfn.IFS(U11&gt;=15,"Critical",U11&gt;=5,"Watch",U11&gt;=-10,"On Track",U11&lt;-10,"Under Budget"),"No Data")</f>
        <v>Critical</v>
      </c>
      <c r="Z11" t="str" cm="1">
        <f t="array" ref="Z11">IFERROR(_xlfn.IFS(U11&gt;15,"High CO Impact",U11&gt;5,"Moderate CO Impact",U11&gt;0,"Low CO Impact",TRUE,"No Change Orders"),"No Data")</f>
        <v>High CO Impact</v>
      </c>
    </row>
    <row r="12" spans="1:26" x14ac:dyDescent="0.25">
      <c r="A12" t="s">
        <v>44</v>
      </c>
      <c r="B12" t="s">
        <v>104</v>
      </c>
      <c r="C12" t="s">
        <v>24</v>
      </c>
      <c r="D12" t="s">
        <v>62</v>
      </c>
      <c r="E12" t="s">
        <v>172</v>
      </c>
      <c r="F12" t="s">
        <v>176</v>
      </c>
      <c r="G12" t="s">
        <v>26</v>
      </c>
      <c r="H12">
        <v>10335707.5</v>
      </c>
      <c r="I12">
        <v>9870386.3800000008</v>
      </c>
      <c r="J12">
        <v>1444937.17</v>
      </c>
      <c r="K12">
        <v>5279237.8899999997</v>
      </c>
      <c r="L12">
        <v>1720589.89</v>
      </c>
      <c r="M12">
        <v>1425621.43</v>
      </c>
      <c r="N12" s="1">
        <v>45655</v>
      </c>
      <c r="O12" s="1">
        <v>45971</v>
      </c>
      <c r="P12" s="1">
        <v>45945</v>
      </c>
      <c r="Q12">
        <v>-26</v>
      </c>
      <c r="R12">
        <v>4</v>
      </c>
      <c r="S12">
        <v>10370.48</v>
      </c>
      <c r="T12">
        <v>-465321.11999999918</v>
      </c>
      <c r="U12">
        <v>-4.5</v>
      </c>
      <c r="V12">
        <v>0.1</v>
      </c>
      <c r="W12" t="s">
        <v>27</v>
      </c>
      <c r="X12" t="str" cm="1">
        <f t="array" ref="X12">_xlfn.IFS(AND(U12&gt;5,W12="No"),"High Risk",OR(U12&gt;5,W12="No"),"Medium Risk",TRUE,"Clean")</f>
        <v>Clean</v>
      </c>
      <c r="Y12" t="str" cm="1">
        <f t="array" ref="Y12">IFERROR(_xlfn.IFS(U12&gt;=15,"Critical",U12&gt;=5,"Watch",U12&gt;=-10,"On Track",U12&lt;-10,"Under Budget"),"No Data")</f>
        <v>On Track</v>
      </c>
      <c r="Z12" t="str" cm="1">
        <f t="array" ref="Z12">IFERROR(_xlfn.IFS(U12&gt;15,"High CO Impact",U12&gt;5,"Moderate CO Impact",U12&gt;0,"Low CO Impact",TRUE,"No Change Orders"),"No Data")</f>
        <v>No Change Orders</v>
      </c>
    </row>
    <row r="13" spans="1:26" x14ac:dyDescent="0.25">
      <c r="A13" t="s">
        <v>45</v>
      </c>
      <c r="B13" t="s">
        <v>105</v>
      </c>
      <c r="C13" t="s">
        <v>35</v>
      </c>
      <c r="D13" t="s">
        <v>40</v>
      </c>
      <c r="E13" t="s">
        <v>177</v>
      </c>
      <c r="F13" t="s">
        <v>178</v>
      </c>
      <c r="G13" t="s">
        <v>33</v>
      </c>
      <c r="H13">
        <v>5382932.6799999997</v>
      </c>
      <c r="I13">
        <v>4825974.4000000004</v>
      </c>
      <c r="J13">
        <v>169178.67</v>
      </c>
      <c r="K13">
        <v>351532.3</v>
      </c>
      <c r="L13">
        <v>1229937.82</v>
      </c>
      <c r="M13">
        <v>3075325.61</v>
      </c>
      <c r="N13" s="1">
        <v>45006</v>
      </c>
      <c r="O13" s="1">
        <v>45270</v>
      </c>
      <c r="P13" s="1">
        <v>45227</v>
      </c>
      <c r="Q13">
        <v>-43</v>
      </c>
      <c r="R13">
        <v>6</v>
      </c>
      <c r="S13">
        <v>300899.5</v>
      </c>
      <c r="T13">
        <v>-556958.27999999933</v>
      </c>
      <c r="U13">
        <v>-10.35</v>
      </c>
      <c r="V13">
        <v>5.59</v>
      </c>
      <c r="W13" t="s">
        <v>27</v>
      </c>
      <c r="X13" t="str" cm="1">
        <f t="array" ref="X13">_xlfn.IFS(AND(U13&gt;5,W13="No"),"High Risk",OR(U13&gt;5,W13="No"),"Medium Risk",TRUE,"Clean")</f>
        <v>Clean</v>
      </c>
      <c r="Y13" t="str" cm="1">
        <f t="array" ref="Y13">IFERROR(_xlfn.IFS(U13&gt;=15,"Critical",U13&gt;=5,"Watch",U13&gt;=-10,"On Track",U13&lt;-10,"Under Budget"),"No Data")</f>
        <v>Under Budget</v>
      </c>
      <c r="Z13" t="str" cm="1">
        <f t="array" ref="Z13">IFERROR(_xlfn.IFS(U13&gt;15,"High CO Impact",U13&gt;5,"Moderate CO Impact",U13&gt;0,"Low CO Impact",TRUE,"No Change Orders"),"No Data")</f>
        <v>No Change Orders</v>
      </c>
    </row>
    <row r="14" spans="1:26" x14ac:dyDescent="0.25">
      <c r="A14" t="s">
        <v>46</v>
      </c>
      <c r="B14" t="s">
        <v>106</v>
      </c>
      <c r="C14" t="s">
        <v>24</v>
      </c>
      <c r="D14" t="s">
        <v>32</v>
      </c>
      <c r="E14" t="s">
        <v>168</v>
      </c>
      <c r="F14" t="s">
        <v>179</v>
      </c>
      <c r="G14" t="s">
        <v>29</v>
      </c>
      <c r="H14">
        <v>13884024.33</v>
      </c>
      <c r="I14">
        <v>12583052.779999999</v>
      </c>
      <c r="J14">
        <v>124634.78</v>
      </c>
      <c r="K14">
        <v>5163421.1500000004</v>
      </c>
      <c r="L14">
        <v>2941016.22</v>
      </c>
      <c r="M14">
        <v>4353980.62</v>
      </c>
      <c r="N14" s="1">
        <v>45869</v>
      </c>
      <c r="O14" s="1">
        <v>46133</v>
      </c>
      <c r="P14" s="1">
        <v>46170</v>
      </c>
      <c r="Q14">
        <v>37</v>
      </c>
      <c r="R14">
        <v>7</v>
      </c>
      <c r="S14">
        <v>503407.56</v>
      </c>
      <c r="T14">
        <v>-1300971.5500000007</v>
      </c>
      <c r="U14">
        <v>-9.3699999999999992</v>
      </c>
      <c r="V14">
        <v>3.63</v>
      </c>
      <c r="W14" t="s">
        <v>30</v>
      </c>
      <c r="X14" t="str" cm="1">
        <f t="array" ref="X14">_xlfn.IFS(AND(U14&gt;5,W14="No"),"High Risk",OR(U14&gt;5,W14="No"),"Medium Risk",TRUE,"Clean")</f>
        <v>Medium Risk</v>
      </c>
      <c r="Y14" t="str" cm="1">
        <f t="array" ref="Y14">IFERROR(_xlfn.IFS(U14&gt;=15,"Critical",U14&gt;=5,"Watch",U14&gt;=-10,"On Track",U14&lt;-10,"Under Budget"),"No Data")</f>
        <v>On Track</v>
      </c>
      <c r="Z14" t="str" cm="1">
        <f t="array" ref="Z14">IFERROR(_xlfn.IFS(U14&gt;15,"High CO Impact",U14&gt;5,"Moderate CO Impact",U14&gt;0,"Low CO Impact",TRUE,"No Change Orders"),"No Data")</f>
        <v>No Change Orders</v>
      </c>
    </row>
    <row r="15" spans="1:26" x14ac:dyDescent="0.25">
      <c r="A15" t="s">
        <v>47</v>
      </c>
      <c r="B15" t="s">
        <v>107</v>
      </c>
      <c r="C15" t="s">
        <v>24</v>
      </c>
      <c r="D15" t="s">
        <v>62</v>
      </c>
      <c r="E15" t="s">
        <v>162</v>
      </c>
      <c r="F15" t="s">
        <v>169</v>
      </c>
      <c r="G15" t="s">
        <v>26</v>
      </c>
      <c r="H15">
        <v>11577902.51</v>
      </c>
      <c r="I15">
        <v>9569822.1500000004</v>
      </c>
      <c r="J15">
        <v>1773638.22</v>
      </c>
      <c r="K15">
        <v>2207507.15</v>
      </c>
      <c r="L15">
        <v>2028568.7</v>
      </c>
      <c r="M15">
        <v>3560108.09</v>
      </c>
      <c r="N15" s="1">
        <v>45288</v>
      </c>
      <c r="O15" s="1">
        <v>45475</v>
      </c>
      <c r="P15" s="1">
        <v>45504</v>
      </c>
      <c r="Q15">
        <v>29</v>
      </c>
      <c r="R15">
        <v>6</v>
      </c>
      <c r="S15">
        <v>463241.83</v>
      </c>
      <c r="T15">
        <v>-2008080.3599999994</v>
      </c>
      <c r="U15">
        <v>-17.34</v>
      </c>
      <c r="V15">
        <v>4</v>
      </c>
      <c r="W15" t="s">
        <v>30</v>
      </c>
      <c r="X15" t="str" cm="1">
        <f t="array" ref="X15">_xlfn.IFS(AND(U15&gt;5,W15="No"),"High Risk",OR(U15&gt;5,W15="No"),"Medium Risk",TRUE,"Clean")</f>
        <v>Medium Risk</v>
      </c>
      <c r="Y15" t="str" cm="1">
        <f t="array" ref="Y15">IFERROR(_xlfn.IFS(U15&gt;=15,"Critical",U15&gt;=5,"Watch",U15&gt;=-10,"On Track",U15&lt;-10,"Under Budget"),"No Data")</f>
        <v>Under Budget</v>
      </c>
      <c r="Z15" t="str" cm="1">
        <f t="array" ref="Z15">IFERROR(_xlfn.IFS(U15&gt;15,"High CO Impact",U15&gt;5,"Moderate CO Impact",U15&gt;0,"Low CO Impact",TRUE,"No Change Orders"),"No Data")</f>
        <v>No Change Orders</v>
      </c>
    </row>
    <row r="16" spans="1:26" x14ac:dyDescent="0.25">
      <c r="A16" t="s">
        <v>48</v>
      </c>
      <c r="B16" t="s">
        <v>108</v>
      </c>
      <c r="C16" t="s">
        <v>91</v>
      </c>
      <c r="D16" t="s">
        <v>62</v>
      </c>
      <c r="E16" t="s">
        <v>161</v>
      </c>
      <c r="F16" t="s">
        <v>180</v>
      </c>
      <c r="G16" t="s">
        <v>33</v>
      </c>
      <c r="H16">
        <v>7795684.5599999996</v>
      </c>
      <c r="I16">
        <v>6763795.2800000003</v>
      </c>
      <c r="J16">
        <v>243625.7</v>
      </c>
      <c r="K16">
        <v>2078591.93</v>
      </c>
      <c r="L16">
        <v>609985.19999999995</v>
      </c>
      <c r="M16">
        <v>3831592.44</v>
      </c>
      <c r="N16" s="1">
        <v>45085</v>
      </c>
      <c r="O16" s="1">
        <v>45309</v>
      </c>
      <c r="P16" s="1">
        <v>45306</v>
      </c>
      <c r="Q16">
        <v>-3</v>
      </c>
      <c r="R16">
        <v>7</v>
      </c>
      <c r="S16">
        <v>654727.97</v>
      </c>
      <c r="T16">
        <v>-1031889.2799999993</v>
      </c>
      <c r="U16">
        <v>-13.24</v>
      </c>
      <c r="V16">
        <v>8.4</v>
      </c>
      <c r="W16" t="s">
        <v>27</v>
      </c>
      <c r="X16" t="str" cm="1">
        <f t="array" ref="X16">_xlfn.IFS(AND(U16&gt;5,W16="No"),"High Risk",OR(U16&gt;5,W16="No"),"Medium Risk",TRUE,"Clean")</f>
        <v>Clean</v>
      </c>
      <c r="Y16" t="str" cm="1">
        <f t="array" ref="Y16">IFERROR(_xlfn.IFS(U16&gt;=15,"Critical",U16&gt;=5,"Watch",U16&gt;=-10,"On Track",U16&lt;-10,"Under Budget"),"No Data")</f>
        <v>Under Budget</v>
      </c>
      <c r="Z16" t="str" cm="1">
        <f t="array" ref="Z16">IFERROR(_xlfn.IFS(U16&gt;15,"High CO Impact",U16&gt;5,"Moderate CO Impact",U16&gt;0,"Low CO Impact",TRUE,"No Change Orders"),"No Data")</f>
        <v>No Change Orders</v>
      </c>
    </row>
    <row r="17" spans="1:26" x14ac:dyDescent="0.25">
      <c r="A17" t="s">
        <v>49</v>
      </c>
      <c r="B17" t="s">
        <v>109</v>
      </c>
      <c r="C17" t="s">
        <v>37</v>
      </c>
      <c r="D17" t="s">
        <v>40</v>
      </c>
      <c r="E17" t="s">
        <v>164</v>
      </c>
      <c r="F17" t="s">
        <v>173</v>
      </c>
      <c r="G17" t="s">
        <v>33</v>
      </c>
      <c r="H17">
        <v>2811587.42</v>
      </c>
      <c r="I17">
        <v>3080136.02</v>
      </c>
      <c r="J17">
        <v>1248954.72</v>
      </c>
      <c r="K17">
        <v>311296.77</v>
      </c>
      <c r="L17">
        <v>1012034.35</v>
      </c>
      <c r="M17">
        <v>507850.17</v>
      </c>
      <c r="N17" s="1">
        <v>46025</v>
      </c>
      <c r="O17" s="1">
        <v>46279</v>
      </c>
      <c r="P17" s="1">
        <v>46255</v>
      </c>
      <c r="Q17">
        <v>-24</v>
      </c>
      <c r="R17">
        <v>7</v>
      </c>
      <c r="S17">
        <v>86117.03</v>
      </c>
      <c r="T17">
        <v>268548.60000000009</v>
      </c>
      <c r="U17">
        <v>9.5500000000000007</v>
      </c>
      <c r="V17">
        <v>3.06</v>
      </c>
      <c r="W17" t="s">
        <v>27</v>
      </c>
      <c r="X17" t="str" cm="1">
        <f t="array" ref="X17">_xlfn.IFS(AND(U17&gt;5,W17="No"),"High Risk",OR(U17&gt;5,W17="No"),"Medium Risk",TRUE,"Clean")</f>
        <v>Medium Risk</v>
      </c>
      <c r="Y17" t="str" cm="1">
        <f t="array" ref="Y17">IFERROR(_xlfn.IFS(U17&gt;=15,"Critical",U17&gt;=5,"Watch",U17&gt;=-10,"On Track",U17&lt;-10,"Under Budget"),"No Data")</f>
        <v>Watch</v>
      </c>
      <c r="Z17" t="str" cm="1">
        <f t="array" ref="Z17">IFERROR(_xlfn.IFS(U17&gt;15,"High CO Impact",U17&gt;5,"Moderate CO Impact",U17&gt;0,"Low CO Impact",TRUE,"No Change Orders"),"No Data")</f>
        <v>Moderate CO Impact</v>
      </c>
    </row>
    <row r="18" spans="1:26" x14ac:dyDescent="0.25">
      <c r="A18" t="s">
        <v>50</v>
      </c>
      <c r="B18" t="s">
        <v>110</v>
      </c>
      <c r="C18" t="s">
        <v>37</v>
      </c>
      <c r="D18" t="s">
        <v>25</v>
      </c>
      <c r="E18" t="s">
        <v>181</v>
      </c>
      <c r="F18" t="s">
        <v>180</v>
      </c>
      <c r="G18" t="s">
        <v>33</v>
      </c>
      <c r="H18">
        <v>10567893.6</v>
      </c>
      <c r="I18">
        <v>10802592.85</v>
      </c>
      <c r="J18">
        <v>1096716.6499999999</v>
      </c>
      <c r="K18">
        <v>3415259.52</v>
      </c>
      <c r="L18">
        <v>2613340.86</v>
      </c>
      <c r="M18">
        <v>3677275.82</v>
      </c>
      <c r="N18" s="1">
        <v>46016</v>
      </c>
      <c r="O18" s="1">
        <v>46174</v>
      </c>
      <c r="P18" s="1">
        <v>46200</v>
      </c>
      <c r="Q18">
        <v>26</v>
      </c>
      <c r="R18">
        <v>2</v>
      </c>
      <c r="S18">
        <v>375447.29</v>
      </c>
      <c r="T18">
        <v>234699.25</v>
      </c>
      <c r="U18">
        <v>2.2200000000000002</v>
      </c>
      <c r="V18">
        <v>3.55</v>
      </c>
      <c r="W18" t="s">
        <v>30</v>
      </c>
      <c r="X18" t="str" cm="1">
        <f t="array" ref="X18">_xlfn.IFS(AND(U18&gt;5,W18="No"),"High Risk",OR(U18&gt;5,W18="No"),"Medium Risk",TRUE,"Clean")</f>
        <v>Medium Risk</v>
      </c>
      <c r="Y18" t="str" cm="1">
        <f t="array" ref="Y18">IFERROR(_xlfn.IFS(U18&gt;=15,"Critical",U18&gt;=5,"Watch",U18&gt;=-10,"On Track",U18&lt;-10,"Under Budget"),"No Data")</f>
        <v>On Track</v>
      </c>
      <c r="Z18" t="str" cm="1">
        <f t="array" ref="Z18">IFERROR(_xlfn.IFS(U18&gt;15,"High CO Impact",U18&gt;5,"Moderate CO Impact",U18&gt;0,"Low CO Impact",TRUE,"No Change Orders"),"No Data")</f>
        <v>Low CO Impact</v>
      </c>
    </row>
    <row r="19" spans="1:26" x14ac:dyDescent="0.25">
      <c r="A19" t="s">
        <v>51</v>
      </c>
      <c r="B19" t="s">
        <v>111</v>
      </c>
      <c r="C19" t="s">
        <v>35</v>
      </c>
      <c r="D19" t="s">
        <v>40</v>
      </c>
      <c r="E19" t="s">
        <v>181</v>
      </c>
      <c r="F19" t="s">
        <v>182</v>
      </c>
      <c r="G19" t="s">
        <v>29</v>
      </c>
      <c r="H19">
        <v>10020066.73</v>
      </c>
      <c r="I19">
        <v>10153265.18</v>
      </c>
      <c r="J19">
        <v>475781.56</v>
      </c>
      <c r="K19">
        <v>8635016.9000000004</v>
      </c>
      <c r="L19">
        <v>181160.33</v>
      </c>
      <c r="M19">
        <v>861306.4</v>
      </c>
      <c r="N19" s="1">
        <v>45980</v>
      </c>
      <c r="O19" s="1">
        <v>46041</v>
      </c>
      <c r="P19" s="1">
        <v>46010</v>
      </c>
      <c r="Q19">
        <v>-31</v>
      </c>
      <c r="R19">
        <v>1</v>
      </c>
      <c r="S19">
        <v>113099.15</v>
      </c>
      <c r="T19">
        <v>133198.44999999925</v>
      </c>
      <c r="U19">
        <v>1.33</v>
      </c>
      <c r="V19">
        <v>1.1299999999999999</v>
      </c>
      <c r="W19" t="s">
        <v>27</v>
      </c>
      <c r="X19" t="str" cm="1">
        <f t="array" ref="X19">_xlfn.IFS(AND(U19&gt;5,W19="No"),"High Risk",OR(U19&gt;5,W19="No"),"Medium Risk",TRUE,"Clean")</f>
        <v>Clean</v>
      </c>
      <c r="Y19" t="str" cm="1">
        <f t="array" ref="Y19">IFERROR(_xlfn.IFS(U19&gt;=15,"Critical",U19&gt;=5,"Watch",U19&gt;=-10,"On Track",U19&lt;-10,"Under Budget"),"No Data")</f>
        <v>On Track</v>
      </c>
      <c r="Z19" t="str" cm="1">
        <f t="array" ref="Z19">IFERROR(_xlfn.IFS(U19&gt;15,"High CO Impact",U19&gt;5,"Moderate CO Impact",U19&gt;0,"Low CO Impact",TRUE,"No Change Orders"),"No Data")</f>
        <v>Low CO Impact</v>
      </c>
    </row>
    <row r="20" spans="1:26" x14ac:dyDescent="0.25">
      <c r="A20" t="s">
        <v>52</v>
      </c>
      <c r="B20" t="s">
        <v>112</v>
      </c>
      <c r="C20" t="s">
        <v>37</v>
      </c>
      <c r="D20" t="s">
        <v>32</v>
      </c>
      <c r="E20" t="s">
        <v>183</v>
      </c>
      <c r="F20" t="s">
        <v>169</v>
      </c>
      <c r="G20" t="s">
        <v>92</v>
      </c>
      <c r="H20">
        <v>11880637.76</v>
      </c>
      <c r="I20">
        <v>11922692.35</v>
      </c>
      <c r="J20">
        <v>6012693.21</v>
      </c>
      <c r="K20">
        <v>2354379.21</v>
      </c>
      <c r="L20">
        <v>2082002.03</v>
      </c>
      <c r="M20">
        <v>1473617.9</v>
      </c>
      <c r="N20" s="1">
        <v>45680</v>
      </c>
      <c r="O20" s="1">
        <v>45967</v>
      </c>
      <c r="P20" s="1">
        <v>45929</v>
      </c>
      <c r="Q20">
        <v>-38</v>
      </c>
      <c r="R20">
        <v>3</v>
      </c>
      <c r="S20">
        <v>211638.01</v>
      </c>
      <c r="T20">
        <v>42054.589999999851</v>
      </c>
      <c r="U20">
        <v>0.35</v>
      </c>
      <c r="V20">
        <v>1.78</v>
      </c>
      <c r="W20" t="s">
        <v>27</v>
      </c>
      <c r="X20" t="str" cm="1">
        <f t="array" ref="X20">_xlfn.IFS(AND(U20&gt;5,W20="No"),"High Risk",OR(U20&gt;5,W20="No"),"Medium Risk",TRUE,"Clean")</f>
        <v>Clean</v>
      </c>
      <c r="Y20" t="str" cm="1">
        <f t="array" ref="Y20">IFERROR(_xlfn.IFS(U20&gt;=15,"Critical",U20&gt;=5,"Watch",U20&gt;=-10,"On Track",U20&lt;-10,"Under Budget"),"No Data")</f>
        <v>On Track</v>
      </c>
      <c r="Z20" t="str" cm="1">
        <f t="array" ref="Z20">IFERROR(_xlfn.IFS(U20&gt;15,"High CO Impact",U20&gt;5,"Moderate CO Impact",U20&gt;0,"Low CO Impact",TRUE,"No Change Orders"),"No Data")</f>
        <v>Low CO Impact</v>
      </c>
    </row>
    <row r="21" spans="1:26" x14ac:dyDescent="0.25">
      <c r="A21" t="s">
        <v>53</v>
      </c>
      <c r="B21" t="s">
        <v>113</v>
      </c>
      <c r="C21" t="s">
        <v>37</v>
      </c>
      <c r="D21" t="s">
        <v>32</v>
      </c>
      <c r="E21" t="s">
        <v>168</v>
      </c>
      <c r="F21" t="s">
        <v>180</v>
      </c>
      <c r="G21" t="s">
        <v>26</v>
      </c>
      <c r="H21">
        <v>14993310.689999999</v>
      </c>
      <c r="I21">
        <v>16674251.5</v>
      </c>
      <c r="J21">
        <v>4820682.6100000003</v>
      </c>
      <c r="K21">
        <v>3306613.15</v>
      </c>
      <c r="L21">
        <v>8052068.3799999999</v>
      </c>
      <c r="M21">
        <v>494887.36</v>
      </c>
      <c r="N21" s="1">
        <v>45485</v>
      </c>
      <c r="O21" s="1">
        <v>45702</v>
      </c>
      <c r="P21" s="1">
        <v>45676</v>
      </c>
      <c r="Q21">
        <v>-26</v>
      </c>
      <c r="R21">
        <v>1</v>
      </c>
      <c r="S21">
        <v>195835.08</v>
      </c>
      <c r="T21">
        <v>1680940.8100000005</v>
      </c>
      <c r="U21">
        <v>11.21</v>
      </c>
      <c r="V21">
        <v>1.31</v>
      </c>
      <c r="W21" t="s">
        <v>27</v>
      </c>
      <c r="X21" t="str" cm="1">
        <f t="array" ref="X21">_xlfn.IFS(AND(U21&gt;5,W21="No"),"High Risk",OR(U21&gt;5,W21="No"),"Medium Risk",TRUE,"Clean")</f>
        <v>Medium Risk</v>
      </c>
      <c r="Y21" t="str" cm="1">
        <f t="array" ref="Y21">IFERROR(_xlfn.IFS(U21&gt;=15,"Critical",U21&gt;=5,"Watch",U21&gt;=-10,"On Track",U21&lt;-10,"Under Budget"),"No Data")</f>
        <v>Watch</v>
      </c>
      <c r="Z21" t="str" cm="1">
        <f t="array" ref="Z21">IFERROR(_xlfn.IFS(U21&gt;15,"High CO Impact",U21&gt;5,"Moderate CO Impact",U21&gt;0,"Low CO Impact",TRUE,"No Change Orders"),"No Data")</f>
        <v>Moderate CO Impact</v>
      </c>
    </row>
    <row r="22" spans="1:26" x14ac:dyDescent="0.25">
      <c r="A22" t="s">
        <v>54</v>
      </c>
      <c r="B22" t="s">
        <v>114</v>
      </c>
      <c r="C22" t="s">
        <v>37</v>
      </c>
      <c r="D22" t="s">
        <v>62</v>
      </c>
      <c r="E22" t="s">
        <v>183</v>
      </c>
      <c r="F22" t="s">
        <v>165</v>
      </c>
      <c r="G22" t="s">
        <v>26</v>
      </c>
      <c r="H22">
        <v>9582795.1500000004</v>
      </c>
      <c r="I22">
        <v>11251316.390000001</v>
      </c>
      <c r="J22">
        <v>2543022.02</v>
      </c>
      <c r="K22">
        <v>1707503.74</v>
      </c>
      <c r="L22">
        <v>3480371.73</v>
      </c>
      <c r="M22">
        <v>3520418.9</v>
      </c>
      <c r="N22" s="1">
        <v>45706</v>
      </c>
      <c r="O22" s="1">
        <v>46067</v>
      </c>
      <c r="P22" s="1">
        <v>46071</v>
      </c>
      <c r="Q22">
        <v>4</v>
      </c>
      <c r="R22">
        <v>4</v>
      </c>
      <c r="S22">
        <v>167318.95000000001</v>
      </c>
      <c r="T22">
        <v>1668521.2400000002</v>
      </c>
      <c r="U22">
        <v>17.41</v>
      </c>
      <c r="V22">
        <v>1.75</v>
      </c>
      <c r="W22" t="s">
        <v>30</v>
      </c>
      <c r="X22" t="str" cm="1">
        <f t="array" ref="X22">_xlfn.IFS(AND(U22&gt;5,W22="No"),"High Risk",OR(U22&gt;5,W22="No"),"Medium Risk",TRUE,"Clean")</f>
        <v>High Risk</v>
      </c>
      <c r="Y22" t="str" cm="1">
        <f t="array" ref="Y22">IFERROR(_xlfn.IFS(U22&gt;=15,"Critical",U22&gt;=5,"Watch",U22&gt;=-10,"On Track",U22&lt;-10,"Under Budget"),"No Data")</f>
        <v>Critical</v>
      </c>
      <c r="Z22" t="str" cm="1">
        <f t="array" ref="Z22">IFERROR(_xlfn.IFS(U22&gt;15,"High CO Impact",U22&gt;5,"Moderate CO Impact",U22&gt;0,"Low CO Impact",TRUE,"No Change Orders"),"No Data")</f>
        <v>High CO Impact</v>
      </c>
    </row>
    <row r="23" spans="1:26" x14ac:dyDescent="0.25">
      <c r="A23" t="s">
        <v>55</v>
      </c>
      <c r="B23" t="s">
        <v>115</v>
      </c>
      <c r="C23" t="s">
        <v>91</v>
      </c>
      <c r="D23" t="s">
        <v>32</v>
      </c>
      <c r="E23" t="s">
        <v>184</v>
      </c>
      <c r="F23" t="s">
        <v>180</v>
      </c>
      <c r="G23" t="s">
        <v>92</v>
      </c>
      <c r="H23">
        <v>7181923.2599999998</v>
      </c>
      <c r="I23">
        <v>7862523.9800000004</v>
      </c>
      <c r="J23">
        <v>757570.42</v>
      </c>
      <c r="K23">
        <v>3213035.75</v>
      </c>
      <c r="L23">
        <v>1348207.83</v>
      </c>
      <c r="M23">
        <v>2543709.9700000002</v>
      </c>
      <c r="N23" s="1">
        <v>45967</v>
      </c>
      <c r="O23" s="1">
        <v>46092</v>
      </c>
      <c r="P23" s="1">
        <v>46101</v>
      </c>
      <c r="Q23">
        <v>9</v>
      </c>
      <c r="R23">
        <v>2</v>
      </c>
      <c r="S23">
        <v>291439.15999999997</v>
      </c>
      <c r="T23">
        <v>680600.72000000067</v>
      </c>
      <c r="U23">
        <v>9.48</v>
      </c>
      <c r="V23">
        <v>4.0599999999999996</v>
      </c>
      <c r="W23" t="s">
        <v>30</v>
      </c>
      <c r="X23" t="str" cm="1">
        <f t="array" ref="X23">_xlfn.IFS(AND(U23&gt;5,W23="No"),"High Risk",OR(U23&gt;5,W23="No"),"Medium Risk",TRUE,"Clean")</f>
        <v>High Risk</v>
      </c>
      <c r="Y23" t="str" cm="1">
        <f t="array" ref="Y23">IFERROR(_xlfn.IFS(U23&gt;=15,"Critical",U23&gt;=5,"Watch",U23&gt;=-10,"On Track",U23&lt;-10,"Under Budget"),"No Data")</f>
        <v>Watch</v>
      </c>
      <c r="Z23" t="str" cm="1">
        <f t="array" ref="Z23">IFERROR(_xlfn.IFS(U23&gt;15,"High CO Impact",U23&gt;5,"Moderate CO Impact",U23&gt;0,"Low CO Impact",TRUE,"No Change Orders"),"No Data")</f>
        <v>Moderate CO Impact</v>
      </c>
    </row>
    <row r="24" spans="1:26" x14ac:dyDescent="0.25">
      <c r="A24" t="s">
        <v>56</v>
      </c>
      <c r="B24" t="s">
        <v>116</v>
      </c>
      <c r="C24" t="s">
        <v>35</v>
      </c>
      <c r="D24" t="s">
        <v>62</v>
      </c>
      <c r="E24" t="s">
        <v>184</v>
      </c>
      <c r="F24" t="s">
        <v>185</v>
      </c>
      <c r="G24" t="s">
        <v>92</v>
      </c>
      <c r="H24">
        <v>3510366.91</v>
      </c>
      <c r="I24">
        <v>3704741.8</v>
      </c>
      <c r="J24">
        <v>2384250.89</v>
      </c>
      <c r="K24">
        <v>157084.54</v>
      </c>
      <c r="L24">
        <v>467444.16</v>
      </c>
      <c r="M24">
        <v>695962.22</v>
      </c>
      <c r="N24" s="1">
        <v>45891</v>
      </c>
      <c r="O24" s="1">
        <v>46188</v>
      </c>
      <c r="P24" s="1">
        <v>46229</v>
      </c>
      <c r="Q24">
        <v>41</v>
      </c>
      <c r="R24">
        <v>6</v>
      </c>
      <c r="S24">
        <v>87038.57</v>
      </c>
      <c r="T24">
        <v>194374.88999999966</v>
      </c>
      <c r="U24">
        <v>5.54</v>
      </c>
      <c r="V24">
        <v>2.48</v>
      </c>
      <c r="W24" t="s">
        <v>30</v>
      </c>
      <c r="X24" t="str" cm="1">
        <f t="array" ref="X24">_xlfn.IFS(AND(U24&gt;5,W24="No"),"High Risk",OR(U24&gt;5,W24="No"),"Medium Risk",TRUE,"Clean")</f>
        <v>High Risk</v>
      </c>
      <c r="Y24" t="str" cm="1">
        <f t="array" ref="Y24">IFERROR(_xlfn.IFS(U24&gt;=15,"Critical",U24&gt;=5,"Watch",U24&gt;=-10,"On Track",U24&lt;-10,"Under Budget"),"No Data")</f>
        <v>Watch</v>
      </c>
      <c r="Z24" t="str" cm="1">
        <f t="array" ref="Z24">IFERROR(_xlfn.IFS(U24&gt;15,"High CO Impact",U24&gt;5,"Moderate CO Impact",U24&gt;0,"Low CO Impact",TRUE,"No Change Orders"),"No Data")</f>
        <v>Moderate CO Impact</v>
      </c>
    </row>
    <row r="25" spans="1:26" x14ac:dyDescent="0.25">
      <c r="A25" t="s">
        <v>57</v>
      </c>
      <c r="B25" t="s">
        <v>93</v>
      </c>
      <c r="C25" t="s">
        <v>91</v>
      </c>
      <c r="D25" t="s">
        <v>32</v>
      </c>
      <c r="E25" t="s">
        <v>161</v>
      </c>
      <c r="F25" t="s">
        <v>167</v>
      </c>
      <c r="G25" t="s">
        <v>33</v>
      </c>
      <c r="H25">
        <v>8209121.6399999997</v>
      </c>
      <c r="I25">
        <v>8856064.6400000006</v>
      </c>
      <c r="J25">
        <v>309165.81</v>
      </c>
      <c r="K25">
        <v>1850781.18</v>
      </c>
      <c r="L25">
        <v>2973106.59</v>
      </c>
      <c r="M25">
        <v>3723011.06</v>
      </c>
      <c r="N25" s="1">
        <v>45078</v>
      </c>
      <c r="O25" s="1">
        <v>45373</v>
      </c>
      <c r="P25" s="1">
        <v>45347</v>
      </c>
      <c r="Q25">
        <v>-26</v>
      </c>
      <c r="R25">
        <v>8</v>
      </c>
      <c r="S25">
        <v>22774.86</v>
      </c>
      <c r="T25">
        <v>646943.00000000093</v>
      </c>
      <c r="U25">
        <v>7.88</v>
      </c>
      <c r="V25">
        <v>0.28000000000000003</v>
      </c>
      <c r="W25" t="s">
        <v>27</v>
      </c>
      <c r="X25" t="str" cm="1">
        <f t="array" ref="X25">_xlfn.IFS(AND(U25&gt;5,W25="No"),"High Risk",OR(U25&gt;5,W25="No"),"Medium Risk",TRUE,"Clean")</f>
        <v>Medium Risk</v>
      </c>
      <c r="Y25" t="str" cm="1">
        <f t="array" ref="Y25">IFERROR(_xlfn.IFS(U25&gt;=15,"Critical",U25&gt;=5,"Watch",U25&gt;=-10,"On Track",U25&lt;-10,"Under Budget"),"No Data")</f>
        <v>Watch</v>
      </c>
      <c r="Z25" t="str" cm="1">
        <f t="array" ref="Z25">IFERROR(_xlfn.IFS(U25&gt;15,"High CO Impact",U25&gt;5,"Moderate CO Impact",U25&gt;0,"Low CO Impact",TRUE,"No Change Orders"),"No Data")</f>
        <v>Moderate CO Impact</v>
      </c>
    </row>
    <row r="26" spans="1:26" x14ac:dyDescent="0.25">
      <c r="A26" t="s">
        <v>58</v>
      </c>
      <c r="B26" t="s">
        <v>117</v>
      </c>
      <c r="C26" t="s">
        <v>24</v>
      </c>
      <c r="D26" t="s">
        <v>62</v>
      </c>
      <c r="E26" t="s">
        <v>168</v>
      </c>
      <c r="F26" t="s">
        <v>180</v>
      </c>
      <c r="G26" t="s">
        <v>33</v>
      </c>
      <c r="H26">
        <v>8759460.2300000004</v>
      </c>
      <c r="I26">
        <v>10719628.609999999</v>
      </c>
      <c r="J26">
        <v>1930250.04</v>
      </c>
      <c r="K26">
        <v>1222406.1000000001</v>
      </c>
      <c r="L26">
        <v>7294225.1900000004</v>
      </c>
      <c r="M26">
        <v>272747.28000000003</v>
      </c>
      <c r="N26" s="1">
        <v>45962</v>
      </c>
      <c r="O26" s="1">
        <v>46294</v>
      </c>
      <c r="P26" s="1">
        <v>46320</v>
      </c>
      <c r="Q26">
        <v>26</v>
      </c>
      <c r="R26">
        <v>4</v>
      </c>
      <c r="S26">
        <v>499426.57</v>
      </c>
      <c r="T26">
        <v>1960168.379999999</v>
      </c>
      <c r="U26">
        <v>22.38</v>
      </c>
      <c r="V26">
        <v>5.7</v>
      </c>
      <c r="W26" t="s">
        <v>30</v>
      </c>
      <c r="X26" t="str" cm="1">
        <f t="array" ref="X26">_xlfn.IFS(AND(U26&gt;5,W26="No"),"High Risk",OR(U26&gt;5,W26="No"),"Medium Risk",TRUE,"Clean")</f>
        <v>High Risk</v>
      </c>
      <c r="Y26" t="str" cm="1">
        <f t="array" ref="Y26">IFERROR(_xlfn.IFS(U26&gt;=15,"Critical",U26&gt;=5,"Watch",U26&gt;=-10,"On Track",U26&lt;-10,"Under Budget"),"No Data")</f>
        <v>Critical</v>
      </c>
      <c r="Z26" t="str" cm="1">
        <f t="array" ref="Z26">IFERROR(_xlfn.IFS(U26&gt;15,"High CO Impact",U26&gt;5,"Moderate CO Impact",U26&gt;0,"Low CO Impact",TRUE,"No Change Orders"),"No Data")</f>
        <v>High CO Impact</v>
      </c>
    </row>
    <row r="27" spans="1:26" x14ac:dyDescent="0.25">
      <c r="A27" t="s">
        <v>59</v>
      </c>
      <c r="B27" t="s">
        <v>118</v>
      </c>
      <c r="C27" t="s">
        <v>37</v>
      </c>
      <c r="D27" t="s">
        <v>32</v>
      </c>
      <c r="E27" t="s">
        <v>172</v>
      </c>
      <c r="F27" t="s">
        <v>186</v>
      </c>
      <c r="G27" t="s">
        <v>33</v>
      </c>
      <c r="H27">
        <v>9028072.2799999993</v>
      </c>
      <c r="I27">
        <v>7415676.6299999999</v>
      </c>
      <c r="J27">
        <v>102650.92</v>
      </c>
      <c r="K27">
        <v>1939428.47</v>
      </c>
      <c r="L27">
        <v>3749358.62</v>
      </c>
      <c r="M27">
        <v>1624238.62</v>
      </c>
      <c r="N27" s="1">
        <v>45863</v>
      </c>
      <c r="O27" s="1">
        <v>45947</v>
      </c>
      <c r="P27" s="1">
        <v>45975</v>
      </c>
      <c r="Q27">
        <v>28</v>
      </c>
      <c r="R27">
        <v>6</v>
      </c>
      <c r="S27">
        <v>44049.07</v>
      </c>
      <c r="T27">
        <v>-1612395.6499999994</v>
      </c>
      <c r="U27">
        <v>-17.86</v>
      </c>
      <c r="V27">
        <v>0.49</v>
      </c>
      <c r="W27" t="s">
        <v>30</v>
      </c>
      <c r="X27" t="str" cm="1">
        <f t="array" ref="X27">_xlfn.IFS(AND(U27&gt;5,W27="No"),"High Risk",OR(U27&gt;5,W27="No"),"Medium Risk",TRUE,"Clean")</f>
        <v>Medium Risk</v>
      </c>
      <c r="Y27" t="str" cm="1">
        <f t="array" ref="Y27">IFERROR(_xlfn.IFS(U27&gt;=15,"Critical",U27&gt;=5,"Watch",U27&gt;=-10,"On Track",U27&lt;-10,"Under Budget"),"No Data")</f>
        <v>Under Budget</v>
      </c>
      <c r="Z27" t="str" cm="1">
        <f t="array" ref="Z27">IFERROR(_xlfn.IFS(U27&gt;15,"High CO Impact",U27&gt;5,"Moderate CO Impact",U27&gt;0,"Low CO Impact",TRUE,"No Change Orders"),"No Data")</f>
        <v>No Change Orders</v>
      </c>
    </row>
    <row r="28" spans="1:26" x14ac:dyDescent="0.25">
      <c r="A28" t="s">
        <v>60</v>
      </c>
      <c r="B28" t="s">
        <v>61</v>
      </c>
      <c r="C28" t="s">
        <v>35</v>
      </c>
      <c r="D28" t="s">
        <v>62</v>
      </c>
      <c r="E28" t="s">
        <v>172</v>
      </c>
      <c r="F28" t="s">
        <v>187</v>
      </c>
      <c r="G28" t="s">
        <v>29</v>
      </c>
      <c r="H28">
        <v>12648590.57</v>
      </c>
      <c r="I28">
        <v>15411586.85</v>
      </c>
      <c r="J28">
        <v>2625734.0699999998</v>
      </c>
      <c r="K28">
        <v>1887800.37</v>
      </c>
      <c r="L28">
        <v>6039051.2000000002</v>
      </c>
      <c r="M28">
        <v>4859001.21</v>
      </c>
      <c r="N28" s="1">
        <v>45086</v>
      </c>
      <c r="O28" s="1">
        <v>45175</v>
      </c>
      <c r="P28" s="1">
        <v>45191</v>
      </c>
      <c r="Q28">
        <v>16</v>
      </c>
      <c r="R28">
        <v>6</v>
      </c>
      <c r="S28">
        <v>392056.01</v>
      </c>
      <c r="T28">
        <v>2762996.2799999993</v>
      </c>
      <c r="U28">
        <v>21.84</v>
      </c>
      <c r="V28">
        <v>3.1</v>
      </c>
      <c r="W28" t="s">
        <v>30</v>
      </c>
      <c r="X28" t="str" cm="1">
        <f t="array" ref="X28">_xlfn.IFS(AND(U28&gt;5,W28="No"),"High Risk",OR(U28&gt;5,W28="No"),"Medium Risk",TRUE,"Clean")</f>
        <v>High Risk</v>
      </c>
      <c r="Y28" t="str" cm="1">
        <f t="array" ref="Y28">IFERROR(_xlfn.IFS(U28&gt;=15,"Critical",U28&gt;=5,"Watch",U28&gt;=-10,"On Track",U28&lt;-10,"Under Budget"),"No Data")</f>
        <v>Critical</v>
      </c>
      <c r="Z28" t="str" cm="1">
        <f t="array" ref="Z28">IFERROR(_xlfn.IFS(U28&gt;15,"High CO Impact",U28&gt;5,"Moderate CO Impact",U28&gt;0,"Low CO Impact",TRUE,"No Change Orders"),"No Data")</f>
        <v>High CO Impact</v>
      </c>
    </row>
    <row r="29" spans="1:26" x14ac:dyDescent="0.25">
      <c r="A29" t="s">
        <v>63</v>
      </c>
      <c r="B29" t="s">
        <v>119</v>
      </c>
      <c r="C29" t="s">
        <v>91</v>
      </c>
      <c r="D29" t="s">
        <v>32</v>
      </c>
      <c r="E29" t="s">
        <v>184</v>
      </c>
      <c r="F29" t="s">
        <v>178</v>
      </c>
      <c r="G29" t="s">
        <v>29</v>
      </c>
      <c r="H29">
        <v>4494618.26</v>
      </c>
      <c r="I29">
        <v>4973586.78</v>
      </c>
      <c r="J29">
        <v>2729730.96</v>
      </c>
      <c r="K29">
        <v>545897.31000000006</v>
      </c>
      <c r="L29">
        <v>188907.11</v>
      </c>
      <c r="M29">
        <v>1509051.39</v>
      </c>
      <c r="N29" s="1">
        <v>45664</v>
      </c>
      <c r="O29" s="1">
        <v>45910</v>
      </c>
      <c r="P29" s="1">
        <v>45949</v>
      </c>
      <c r="Q29">
        <v>39</v>
      </c>
      <c r="R29">
        <v>1</v>
      </c>
      <c r="S29">
        <v>56601.95</v>
      </c>
      <c r="T29">
        <v>478968.52000000048</v>
      </c>
      <c r="U29">
        <v>10.66</v>
      </c>
      <c r="V29">
        <v>1.26</v>
      </c>
      <c r="W29" t="s">
        <v>30</v>
      </c>
      <c r="X29" t="str" cm="1">
        <f t="array" ref="X29">_xlfn.IFS(AND(U29&gt;5,W29="No"),"High Risk",OR(U29&gt;5,W29="No"),"Medium Risk",TRUE,"Clean")</f>
        <v>High Risk</v>
      </c>
      <c r="Y29" t="str" cm="1">
        <f t="array" ref="Y29">IFERROR(_xlfn.IFS(U29&gt;=15,"Critical",U29&gt;=5,"Watch",U29&gt;=-10,"On Track",U29&lt;-10,"Under Budget"),"No Data")</f>
        <v>Watch</v>
      </c>
      <c r="Z29" t="str" cm="1">
        <f t="array" ref="Z29">IFERROR(_xlfn.IFS(U29&gt;15,"High CO Impact",U29&gt;5,"Moderate CO Impact",U29&gt;0,"Low CO Impact",TRUE,"No Change Orders"),"No Data")</f>
        <v>Moderate CO Impact</v>
      </c>
    </row>
    <row r="30" spans="1:26" x14ac:dyDescent="0.25">
      <c r="A30" t="s">
        <v>64</v>
      </c>
      <c r="B30" t="s">
        <v>120</v>
      </c>
      <c r="C30" t="s">
        <v>35</v>
      </c>
      <c r="D30" t="s">
        <v>62</v>
      </c>
      <c r="E30" t="s">
        <v>183</v>
      </c>
      <c r="F30" t="s">
        <v>178</v>
      </c>
      <c r="G30" t="s">
        <v>29</v>
      </c>
      <c r="H30">
        <v>1681213.6</v>
      </c>
      <c r="I30">
        <v>1878310.89</v>
      </c>
      <c r="J30">
        <v>168871.34</v>
      </c>
      <c r="K30">
        <v>64676.480000000003</v>
      </c>
      <c r="L30">
        <v>822122.5</v>
      </c>
      <c r="M30">
        <v>822640.57</v>
      </c>
      <c r="N30" s="1">
        <v>45943</v>
      </c>
      <c r="O30" s="1">
        <v>46061</v>
      </c>
      <c r="P30" s="1">
        <v>46076</v>
      </c>
      <c r="Q30">
        <v>15</v>
      </c>
      <c r="R30">
        <v>2</v>
      </c>
      <c r="S30">
        <v>62420.56</v>
      </c>
      <c r="T30">
        <v>197097.2899999998</v>
      </c>
      <c r="U30">
        <v>11.72</v>
      </c>
      <c r="V30">
        <v>3.71</v>
      </c>
      <c r="W30" t="s">
        <v>30</v>
      </c>
      <c r="X30" t="str" cm="1">
        <f t="array" ref="X30">_xlfn.IFS(AND(U30&gt;5,W30="No"),"High Risk",OR(U30&gt;5,W30="No"),"Medium Risk",TRUE,"Clean")</f>
        <v>High Risk</v>
      </c>
      <c r="Y30" t="str" cm="1">
        <f t="array" ref="Y30">IFERROR(_xlfn.IFS(U30&gt;=15,"Critical",U30&gt;=5,"Watch",U30&gt;=-10,"On Track",U30&lt;-10,"Under Budget"),"No Data")</f>
        <v>Watch</v>
      </c>
      <c r="Z30" t="str" cm="1">
        <f t="array" ref="Z30">IFERROR(_xlfn.IFS(U30&gt;15,"High CO Impact",U30&gt;5,"Moderate CO Impact",U30&gt;0,"Low CO Impact",TRUE,"No Change Orders"),"No Data")</f>
        <v>Moderate CO Impact</v>
      </c>
    </row>
    <row r="31" spans="1:26" x14ac:dyDescent="0.25">
      <c r="A31" t="s">
        <v>65</v>
      </c>
      <c r="B31" t="s">
        <v>121</v>
      </c>
      <c r="C31" t="s">
        <v>24</v>
      </c>
      <c r="D31" t="s">
        <v>25</v>
      </c>
      <c r="E31" t="s">
        <v>183</v>
      </c>
      <c r="F31" t="s">
        <v>170</v>
      </c>
      <c r="G31" t="s">
        <v>29</v>
      </c>
      <c r="H31">
        <v>9875876.9000000004</v>
      </c>
      <c r="I31">
        <v>8603600.1400000006</v>
      </c>
      <c r="J31">
        <v>2356311.4700000002</v>
      </c>
      <c r="K31">
        <v>4745287.9800000004</v>
      </c>
      <c r="L31">
        <v>682466.16</v>
      </c>
      <c r="M31">
        <v>819534.53</v>
      </c>
      <c r="N31" s="1">
        <v>46062</v>
      </c>
      <c r="O31" s="1">
        <v>46207</v>
      </c>
      <c r="P31" s="1">
        <v>46202</v>
      </c>
      <c r="Q31">
        <v>-5</v>
      </c>
      <c r="R31">
        <v>5</v>
      </c>
      <c r="S31">
        <v>967570.46</v>
      </c>
      <c r="T31">
        <v>-1272276.7599999998</v>
      </c>
      <c r="U31">
        <v>-12.88</v>
      </c>
      <c r="V31">
        <v>9.8000000000000007</v>
      </c>
      <c r="W31" t="s">
        <v>27</v>
      </c>
      <c r="X31" t="str" cm="1">
        <f t="array" ref="X31">_xlfn.IFS(AND(U31&gt;5,W31="No"),"High Risk",OR(U31&gt;5,W31="No"),"Medium Risk",TRUE,"Clean")</f>
        <v>Clean</v>
      </c>
      <c r="Y31" t="str" cm="1">
        <f t="array" ref="Y31">IFERROR(_xlfn.IFS(U31&gt;=15,"Critical",U31&gt;=5,"Watch",U31&gt;=-10,"On Track",U31&lt;-10,"Under Budget"),"No Data")</f>
        <v>Under Budget</v>
      </c>
      <c r="Z31" t="str" cm="1">
        <f t="array" ref="Z31">IFERROR(_xlfn.IFS(U31&gt;15,"High CO Impact",U31&gt;5,"Moderate CO Impact",U31&gt;0,"Low CO Impact",TRUE,"No Change Orders"),"No Data")</f>
        <v>No Change Orders</v>
      </c>
    </row>
    <row r="32" spans="1:26" x14ac:dyDescent="0.25">
      <c r="A32" t="s">
        <v>66</v>
      </c>
      <c r="B32" t="s">
        <v>122</v>
      </c>
      <c r="C32" t="s">
        <v>35</v>
      </c>
      <c r="D32" t="s">
        <v>62</v>
      </c>
      <c r="E32" t="s">
        <v>168</v>
      </c>
      <c r="F32" t="s">
        <v>188</v>
      </c>
      <c r="G32" t="s">
        <v>26</v>
      </c>
      <c r="H32">
        <v>13449725.560000001</v>
      </c>
      <c r="I32">
        <v>11771812.98</v>
      </c>
      <c r="J32">
        <v>6002256.6200000001</v>
      </c>
      <c r="K32">
        <v>501720.66</v>
      </c>
      <c r="L32">
        <v>1215818.42</v>
      </c>
      <c r="M32">
        <v>4052017.28</v>
      </c>
      <c r="N32" s="1">
        <v>45876</v>
      </c>
      <c r="O32" s="1">
        <v>46159</v>
      </c>
      <c r="P32" s="1">
        <v>46118</v>
      </c>
      <c r="Q32">
        <v>-41</v>
      </c>
      <c r="R32">
        <v>3</v>
      </c>
      <c r="S32">
        <v>279134.40999999997</v>
      </c>
      <c r="T32">
        <v>-1677912.58</v>
      </c>
      <c r="U32">
        <v>-12.48</v>
      </c>
      <c r="V32">
        <v>2.08</v>
      </c>
      <c r="W32" t="s">
        <v>27</v>
      </c>
      <c r="X32" t="str" cm="1">
        <f t="array" ref="X32">_xlfn.IFS(AND(U32&gt;5,W32="No"),"High Risk",OR(U32&gt;5,W32="No"),"Medium Risk",TRUE,"Clean")</f>
        <v>Clean</v>
      </c>
      <c r="Y32" t="str" cm="1">
        <f t="array" ref="Y32">IFERROR(_xlfn.IFS(U32&gt;=15,"Critical",U32&gt;=5,"Watch",U32&gt;=-10,"On Track",U32&lt;-10,"Under Budget"),"No Data")</f>
        <v>Under Budget</v>
      </c>
      <c r="Z32" t="str" cm="1">
        <f t="array" ref="Z32">IFERROR(_xlfn.IFS(U32&gt;15,"High CO Impact",U32&gt;5,"Moderate CO Impact",U32&gt;0,"Low CO Impact",TRUE,"No Change Orders"),"No Data")</f>
        <v>No Change Orders</v>
      </c>
    </row>
    <row r="33" spans="1:26" x14ac:dyDescent="0.25">
      <c r="A33" t="s">
        <v>67</v>
      </c>
      <c r="B33" t="s">
        <v>94</v>
      </c>
      <c r="C33" t="s">
        <v>91</v>
      </c>
      <c r="D33" t="s">
        <v>25</v>
      </c>
      <c r="E33" t="s">
        <v>162</v>
      </c>
      <c r="F33" t="s">
        <v>175</v>
      </c>
      <c r="G33" t="s">
        <v>26</v>
      </c>
      <c r="H33">
        <v>5964134.7699999996</v>
      </c>
      <c r="I33">
        <v>6465469.8200000003</v>
      </c>
      <c r="J33">
        <v>31168.89</v>
      </c>
      <c r="K33">
        <v>5803987.2999999998</v>
      </c>
      <c r="L33">
        <v>267259.23</v>
      </c>
      <c r="M33">
        <v>363054.41</v>
      </c>
      <c r="N33" s="1">
        <v>45367</v>
      </c>
      <c r="O33" s="1">
        <v>45476</v>
      </c>
      <c r="P33" s="1">
        <v>45485</v>
      </c>
      <c r="Q33">
        <v>9</v>
      </c>
      <c r="R33">
        <v>3</v>
      </c>
      <c r="S33">
        <v>228160.97</v>
      </c>
      <c r="T33">
        <v>501335.05000000075</v>
      </c>
      <c r="U33">
        <v>8.41</v>
      </c>
      <c r="V33">
        <v>3.83</v>
      </c>
      <c r="W33" t="s">
        <v>30</v>
      </c>
      <c r="X33" t="str" cm="1">
        <f t="array" ref="X33">_xlfn.IFS(AND(U33&gt;5,W33="No"),"High Risk",OR(U33&gt;5,W33="No"),"Medium Risk",TRUE,"Clean")</f>
        <v>High Risk</v>
      </c>
      <c r="Y33" t="str" cm="1">
        <f t="array" ref="Y33">IFERROR(_xlfn.IFS(U33&gt;=15,"Critical",U33&gt;=5,"Watch",U33&gt;=-10,"On Track",U33&lt;-10,"Under Budget"),"No Data")</f>
        <v>Watch</v>
      </c>
      <c r="Z33" t="str" cm="1">
        <f t="array" ref="Z33">IFERROR(_xlfn.IFS(U33&gt;15,"High CO Impact",U33&gt;5,"Moderate CO Impact",U33&gt;0,"Low CO Impact",TRUE,"No Change Orders"),"No Data")</f>
        <v>Moderate CO Impact</v>
      </c>
    </row>
    <row r="34" spans="1:26" x14ac:dyDescent="0.25">
      <c r="A34" t="s">
        <v>68</v>
      </c>
      <c r="B34" t="s">
        <v>123</v>
      </c>
      <c r="C34" t="s">
        <v>35</v>
      </c>
      <c r="D34" t="s">
        <v>40</v>
      </c>
      <c r="E34" t="s">
        <v>181</v>
      </c>
      <c r="F34" t="s">
        <v>179</v>
      </c>
      <c r="G34" t="s">
        <v>26</v>
      </c>
      <c r="H34">
        <v>4168531.67</v>
      </c>
      <c r="I34">
        <v>4892306.07</v>
      </c>
      <c r="J34">
        <v>753637.17</v>
      </c>
      <c r="K34">
        <v>823103.57</v>
      </c>
      <c r="L34">
        <v>2378872.86</v>
      </c>
      <c r="M34">
        <v>936692.46</v>
      </c>
      <c r="N34" s="1">
        <v>45602</v>
      </c>
      <c r="O34" s="1">
        <v>45963</v>
      </c>
      <c r="P34" s="1">
        <v>45960</v>
      </c>
      <c r="Q34">
        <v>-3</v>
      </c>
      <c r="R34">
        <v>0</v>
      </c>
      <c r="S34">
        <v>0</v>
      </c>
      <c r="T34">
        <v>723774.40000000037</v>
      </c>
      <c r="U34">
        <v>17.36</v>
      </c>
      <c r="V34">
        <v>0</v>
      </c>
      <c r="W34" t="s">
        <v>27</v>
      </c>
      <c r="X34" t="str" cm="1">
        <f t="array" ref="X34">_xlfn.IFS(AND(U34&gt;5,W34="No"),"High Risk",OR(U34&gt;5,W34="No"),"Medium Risk",TRUE,"Clean")</f>
        <v>Medium Risk</v>
      </c>
      <c r="Y34" t="str" cm="1">
        <f t="array" ref="Y34">IFERROR(_xlfn.IFS(U34&gt;=15,"Critical",U34&gt;=5,"Watch",U34&gt;=-10,"On Track",U34&lt;-10,"Under Budget"),"No Data")</f>
        <v>Critical</v>
      </c>
      <c r="Z34" t="str" cm="1">
        <f t="array" ref="Z34">IFERROR(_xlfn.IFS(U34&gt;15,"High CO Impact",U34&gt;5,"Moderate CO Impact",U34&gt;0,"Low CO Impact",TRUE,"No Change Orders"),"No Data")</f>
        <v>High CO Impact</v>
      </c>
    </row>
    <row r="35" spans="1:26" x14ac:dyDescent="0.25">
      <c r="A35" t="s">
        <v>69</v>
      </c>
      <c r="B35" t="s">
        <v>124</v>
      </c>
      <c r="C35" t="s">
        <v>35</v>
      </c>
      <c r="D35" t="s">
        <v>32</v>
      </c>
      <c r="E35" t="s">
        <v>168</v>
      </c>
      <c r="F35" t="s">
        <v>180</v>
      </c>
      <c r="G35" t="s">
        <v>92</v>
      </c>
      <c r="H35">
        <v>13273861.84</v>
      </c>
      <c r="I35">
        <v>11904242.75</v>
      </c>
      <c r="J35">
        <v>1668160.19</v>
      </c>
      <c r="K35">
        <v>1472702.75</v>
      </c>
      <c r="L35">
        <v>3118110.14</v>
      </c>
      <c r="M35">
        <v>5645269.6699999999</v>
      </c>
      <c r="N35" s="1">
        <v>45274</v>
      </c>
      <c r="O35" s="1">
        <v>45618</v>
      </c>
      <c r="P35" s="1">
        <v>45637</v>
      </c>
      <c r="Q35">
        <v>19</v>
      </c>
      <c r="R35">
        <v>4</v>
      </c>
      <c r="S35">
        <v>346570.02</v>
      </c>
      <c r="T35">
        <v>-1369619.0899999999</v>
      </c>
      <c r="U35">
        <v>-10.32</v>
      </c>
      <c r="V35">
        <v>2.61</v>
      </c>
      <c r="W35" t="s">
        <v>30</v>
      </c>
      <c r="X35" t="str" cm="1">
        <f t="array" ref="X35">_xlfn.IFS(AND(U35&gt;5,W35="No"),"High Risk",OR(U35&gt;5,W35="No"),"Medium Risk",TRUE,"Clean")</f>
        <v>Medium Risk</v>
      </c>
      <c r="Y35" t="str" cm="1">
        <f t="array" ref="Y35">IFERROR(_xlfn.IFS(U35&gt;=15,"Critical",U35&gt;=5,"Watch",U35&gt;=-10,"On Track",U35&lt;-10,"Under Budget"),"No Data")</f>
        <v>Under Budget</v>
      </c>
      <c r="Z35" t="str" cm="1">
        <f t="array" ref="Z35">IFERROR(_xlfn.IFS(U35&gt;15,"High CO Impact",U35&gt;5,"Moderate CO Impact",U35&gt;0,"Low CO Impact",TRUE,"No Change Orders"),"No Data")</f>
        <v>No Change Orders</v>
      </c>
    </row>
    <row r="36" spans="1:26" x14ac:dyDescent="0.25">
      <c r="A36" t="s">
        <v>70</v>
      </c>
      <c r="B36" t="s">
        <v>125</v>
      </c>
      <c r="C36" t="s">
        <v>24</v>
      </c>
      <c r="D36" t="s">
        <v>25</v>
      </c>
      <c r="E36" t="s">
        <v>181</v>
      </c>
      <c r="F36" t="s">
        <v>165</v>
      </c>
      <c r="G36" t="s">
        <v>26</v>
      </c>
      <c r="H36">
        <v>2877340.91</v>
      </c>
      <c r="I36">
        <v>3134363.51</v>
      </c>
      <c r="J36">
        <v>1134848.9099999999</v>
      </c>
      <c r="K36">
        <v>868124.33</v>
      </c>
      <c r="L36">
        <v>1112912.1100000001</v>
      </c>
      <c r="M36">
        <v>18478.150000000001</v>
      </c>
      <c r="N36" s="1">
        <v>45511</v>
      </c>
      <c r="O36" s="1">
        <v>45733</v>
      </c>
      <c r="P36" s="1">
        <v>45724</v>
      </c>
      <c r="Q36">
        <v>-9</v>
      </c>
      <c r="R36">
        <v>5</v>
      </c>
      <c r="S36">
        <v>214934.39999999999</v>
      </c>
      <c r="T36">
        <v>257022.59999999963</v>
      </c>
      <c r="U36">
        <v>8.93</v>
      </c>
      <c r="V36">
        <v>7.47</v>
      </c>
      <c r="W36" t="s">
        <v>27</v>
      </c>
      <c r="X36" t="str" cm="1">
        <f t="array" ref="X36">_xlfn.IFS(AND(U36&gt;5,W36="No"),"High Risk",OR(U36&gt;5,W36="No"),"Medium Risk",TRUE,"Clean")</f>
        <v>Medium Risk</v>
      </c>
      <c r="Y36" t="str" cm="1">
        <f t="array" ref="Y36">IFERROR(_xlfn.IFS(U36&gt;=15,"Critical",U36&gt;=5,"Watch",U36&gt;=-10,"On Track",U36&lt;-10,"Under Budget"),"No Data")</f>
        <v>Watch</v>
      </c>
      <c r="Z36" t="str" cm="1">
        <f t="array" ref="Z36">IFERROR(_xlfn.IFS(U36&gt;15,"High CO Impact",U36&gt;5,"Moderate CO Impact",U36&gt;0,"Low CO Impact",TRUE,"No Change Orders"),"No Data")</f>
        <v>Moderate CO Impact</v>
      </c>
    </row>
    <row r="37" spans="1:26" x14ac:dyDescent="0.25">
      <c r="A37" t="s">
        <v>71</v>
      </c>
      <c r="B37" t="s">
        <v>126</v>
      </c>
      <c r="C37" t="s">
        <v>37</v>
      </c>
      <c r="D37" t="s">
        <v>32</v>
      </c>
      <c r="E37" t="s">
        <v>183</v>
      </c>
      <c r="F37" t="s">
        <v>186</v>
      </c>
      <c r="G37" t="s">
        <v>92</v>
      </c>
      <c r="H37">
        <v>2685834.72</v>
      </c>
      <c r="I37">
        <v>2797945.5</v>
      </c>
      <c r="J37">
        <v>275236.59999999998</v>
      </c>
      <c r="K37">
        <v>505219.37</v>
      </c>
      <c r="L37">
        <v>1943444.98</v>
      </c>
      <c r="M37">
        <v>74044.55</v>
      </c>
      <c r="N37" s="1">
        <v>45817</v>
      </c>
      <c r="O37" s="1">
        <v>45886</v>
      </c>
      <c r="P37" s="1">
        <v>45871</v>
      </c>
      <c r="Q37">
        <v>-15</v>
      </c>
      <c r="R37">
        <v>4</v>
      </c>
      <c r="S37">
        <v>178622.56</v>
      </c>
      <c r="T37">
        <v>112110.7799999998</v>
      </c>
      <c r="U37">
        <v>4.17</v>
      </c>
      <c r="V37">
        <v>6.65</v>
      </c>
      <c r="W37" t="s">
        <v>27</v>
      </c>
      <c r="X37" t="str" cm="1">
        <f t="array" ref="X37">_xlfn.IFS(AND(U37&gt;5,W37="No"),"High Risk",OR(U37&gt;5,W37="No"),"Medium Risk",TRUE,"Clean")</f>
        <v>Clean</v>
      </c>
      <c r="Y37" t="str" cm="1">
        <f t="array" ref="Y37">IFERROR(_xlfn.IFS(U37&gt;=15,"Critical",U37&gt;=5,"Watch",U37&gt;=-10,"On Track",U37&lt;-10,"Under Budget"),"No Data")</f>
        <v>On Track</v>
      </c>
      <c r="Z37" t="str" cm="1">
        <f t="array" ref="Z37">IFERROR(_xlfn.IFS(U37&gt;15,"High CO Impact",U37&gt;5,"Moderate CO Impact",U37&gt;0,"Low CO Impact",TRUE,"No Change Orders"),"No Data")</f>
        <v>Low CO Impact</v>
      </c>
    </row>
    <row r="38" spans="1:26" x14ac:dyDescent="0.25">
      <c r="A38" t="s">
        <v>72</v>
      </c>
      <c r="B38" t="s">
        <v>127</v>
      </c>
      <c r="C38" t="s">
        <v>35</v>
      </c>
      <c r="D38" t="s">
        <v>32</v>
      </c>
      <c r="E38" t="s">
        <v>183</v>
      </c>
      <c r="F38" t="s">
        <v>175</v>
      </c>
      <c r="G38" t="s">
        <v>33</v>
      </c>
      <c r="H38">
        <v>6391057.5599999996</v>
      </c>
      <c r="I38">
        <v>7839032.2699999996</v>
      </c>
      <c r="J38">
        <v>1368411.16</v>
      </c>
      <c r="K38">
        <v>1326880.73</v>
      </c>
      <c r="L38">
        <v>5038957.67</v>
      </c>
      <c r="M38">
        <v>104782.72</v>
      </c>
      <c r="N38" s="1">
        <v>45874</v>
      </c>
      <c r="O38" s="1">
        <v>45961</v>
      </c>
      <c r="P38" s="1">
        <v>45927</v>
      </c>
      <c r="Q38">
        <v>-34</v>
      </c>
      <c r="R38">
        <v>3</v>
      </c>
      <c r="S38">
        <v>104296.64</v>
      </c>
      <c r="T38">
        <v>1447974.71</v>
      </c>
      <c r="U38">
        <v>22.66</v>
      </c>
      <c r="V38">
        <v>1.63</v>
      </c>
      <c r="W38" t="s">
        <v>27</v>
      </c>
      <c r="X38" t="str" cm="1">
        <f t="array" ref="X38">_xlfn.IFS(AND(U38&gt;5,W38="No"),"High Risk",OR(U38&gt;5,W38="No"),"Medium Risk",TRUE,"Clean")</f>
        <v>Medium Risk</v>
      </c>
      <c r="Y38" t="str" cm="1">
        <f t="array" ref="Y38">IFERROR(_xlfn.IFS(U38&gt;=15,"Critical",U38&gt;=5,"Watch",U38&gt;=-10,"On Track",U38&lt;-10,"Under Budget"),"No Data")</f>
        <v>Critical</v>
      </c>
      <c r="Z38" t="str" cm="1">
        <f t="array" ref="Z38">IFERROR(_xlfn.IFS(U38&gt;15,"High CO Impact",U38&gt;5,"Moderate CO Impact",U38&gt;0,"Low CO Impact",TRUE,"No Change Orders"),"No Data")</f>
        <v>High CO Impact</v>
      </c>
    </row>
    <row r="39" spans="1:26" x14ac:dyDescent="0.25">
      <c r="A39" t="s">
        <v>73</v>
      </c>
      <c r="B39" t="s">
        <v>128</v>
      </c>
      <c r="C39" t="s">
        <v>24</v>
      </c>
      <c r="D39" t="s">
        <v>40</v>
      </c>
      <c r="E39" t="s">
        <v>168</v>
      </c>
      <c r="F39" t="s">
        <v>179</v>
      </c>
      <c r="G39" t="s">
        <v>29</v>
      </c>
      <c r="H39">
        <v>8700643.4100000001</v>
      </c>
      <c r="I39">
        <v>7076630.9900000002</v>
      </c>
      <c r="J39">
        <v>4367867.68</v>
      </c>
      <c r="K39">
        <v>89746.1</v>
      </c>
      <c r="L39">
        <v>493557.25</v>
      </c>
      <c r="M39">
        <v>2125459.9500000002</v>
      </c>
      <c r="N39" s="1">
        <v>46086</v>
      </c>
      <c r="O39" s="1">
        <v>46160</v>
      </c>
      <c r="P39" s="1">
        <v>46150</v>
      </c>
      <c r="Q39">
        <v>-10</v>
      </c>
      <c r="R39">
        <v>3</v>
      </c>
      <c r="S39">
        <v>77379</v>
      </c>
      <c r="T39">
        <v>-1624012.42</v>
      </c>
      <c r="U39">
        <v>-18.670000000000002</v>
      </c>
      <c r="V39">
        <v>0.89</v>
      </c>
      <c r="W39" t="s">
        <v>27</v>
      </c>
      <c r="X39" t="str" cm="1">
        <f t="array" ref="X39">_xlfn.IFS(AND(U39&gt;5,W39="No"),"High Risk",OR(U39&gt;5,W39="No"),"Medium Risk",TRUE,"Clean")</f>
        <v>Clean</v>
      </c>
      <c r="Y39" t="str" cm="1">
        <f t="array" ref="Y39">IFERROR(_xlfn.IFS(U39&gt;=15,"Critical",U39&gt;=5,"Watch",U39&gt;=-10,"On Track",U39&lt;-10,"Under Budget"),"No Data")</f>
        <v>Under Budget</v>
      </c>
      <c r="Z39" t="str" cm="1">
        <f t="array" ref="Z39">IFERROR(_xlfn.IFS(U39&gt;15,"High CO Impact",U39&gt;5,"Moderate CO Impact",U39&gt;0,"Low CO Impact",TRUE,"No Change Orders"),"No Data")</f>
        <v>No Change Orders</v>
      </c>
    </row>
    <row r="40" spans="1:26" x14ac:dyDescent="0.25">
      <c r="A40" t="s">
        <v>74</v>
      </c>
      <c r="B40" t="s">
        <v>75</v>
      </c>
      <c r="C40" t="s">
        <v>24</v>
      </c>
      <c r="D40" t="s">
        <v>62</v>
      </c>
      <c r="E40" t="s">
        <v>172</v>
      </c>
      <c r="F40" t="s">
        <v>186</v>
      </c>
      <c r="G40" t="s">
        <v>26</v>
      </c>
      <c r="H40">
        <v>8906435.7100000009</v>
      </c>
      <c r="I40">
        <v>6785828.8700000001</v>
      </c>
      <c r="J40">
        <v>1711434.74</v>
      </c>
      <c r="K40">
        <v>275493.31</v>
      </c>
      <c r="L40">
        <v>2814625.09</v>
      </c>
      <c r="M40">
        <v>1984275.73</v>
      </c>
      <c r="N40" s="1">
        <v>45204</v>
      </c>
      <c r="O40" s="1">
        <v>45484</v>
      </c>
      <c r="P40" s="1">
        <v>45472</v>
      </c>
      <c r="Q40">
        <v>-12</v>
      </c>
      <c r="R40">
        <v>2</v>
      </c>
      <c r="S40">
        <v>1290.4000000000001</v>
      </c>
      <c r="T40">
        <v>-2120606.8400000008</v>
      </c>
      <c r="U40">
        <v>-23.81</v>
      </c>
      <c r="V40">
        <v>0.01</v>
      </c>
      <c r="W40" t="s">
        <v>27</v>
      </c>
      <c r="X40" t="str" cm="1">
        <f t="array" ref="X40">_xlfn.IFS(AND(U40&gt;5,W40="No"),"High Risk",OR(U40&gt;5,W40="No"),"Medium Risk",TRUE,"Clean")</f>
        <v>Clean</v>
      </c>
      <c r="Y40" t="str" cm="1">
        <f t="array" ref="Y40">IFERROR(_xlfn.IFS(U40&gt;=15,"Critical",U40&gt;=5,"Watch",U40&gt;=-10,"On Track",U40&lt;-10,"Under Budget"),"No Data")</f>
        <v>Under Budget</v>
      </c>
      <c r="Z40" t="str" cm="1">
        <f t="array" ref="Z40">IFERROR(_xlfn.IFS(U40&gt;15,"High CO Impact",U40&gt;5,"Moderate CO Impact",U40&gt;0,"Low CO Impact",TRUE,"No Change Orders"),"No Data")</f>
        <v>No Change Orders</v>
      </c>
    </row>
    <row r="41" spans="1:26" x14ac:dyDescent="0.25">
      <c r="A41" t="s">
        <v>76</v>
      </c>
      <c r="B41" t="s">
        <v>129</v>
      </c>
      <c r="C41" t="s">
        <v>91</v>
      </c>
      <c r="D41" t="s">
        <v>40</v>
      </c>
      <c r="E41" t="s">
        <v>161</v>
      </c>
      <c r="F41" t="s">
        <v>170</v>
      </c>
      <c r="G41" t="s">
        <v>92</v>
      </c>
      <c r="H41">
        <v>2901725.13</v>
      </c>
      <c r="I41">
        <v>3408380.23</v>
      </c>
      <c r="J41">
        <v>1329296.8999999999</v>
      </c>
      <c r="K41">
        <v>376930.62</v>
      </c>
      <c r="L41">
        <v>327038.83</v>
      </c>
      <c r="M41">
        <v>1375113.88</v>
      </c>
      <c r="N41" s="1">
        <v>45004</v>
      </c>
      <c r="O41" s="1">
        <v>45183</v>
      </c>
      <c r="P41" s="1">
        <v>45217</v>
      </c>
      <c r="Q41">
        <v>34</v>
      </c>
      <c r="R41">
        <v>5</v>
      </c>
      <c r="S41">
        <v>141894.14000000001</v>
      </c>
      <c r="T41">
        <v>506655.10000000009</v>
      </c>
      <c r="U41">
        <v>17.46</v>
      </c>
      <c r="V41">
        <v>4.8899999999999997</v>
      </c>
      <c r="W41" t="s">
        <v>30</v>
      </c>
      <c r="X41" t="str" cm="1">
        <f t="array" ref="X41">_xlfn.IFS(AND(U41&gt;5,W41="No"),"High Risk",OR(U41&gt;5,W41="No"),"Medium Risk",TRUE,"Clean")</f>
        <v>High Risk</v>
      </c>
      <c r="Y41" t="str" cm="1">
        <f t="array" ref="Y41">IFERROR(_xlfn.IFS(U41&gt;=15,"Critical",U41&gt;=5,"Watch",U41&gt;=-10,"On Track",U41&lt;-10,"Under Budget"),"No Data")</f>
        <v>Critical</v>
      </c>
      <c r="Z41" t="str" cm="1">
        <f t="array" ref="Z41">IFERROR(_xlfn.IFS(U41&gt;15,"High CO Impact",U41&gt;5,"Moderate CO Impact",U41&gt;0,"Low CO Impact",TRUE,"No Change Orders"),"No Data")</f>
        <v>High CO Impact</v>
      </c>
    </row>
    <row r="42" spans="1:26" x14ac:dyDescent="0.25">
      <c r="A42" t="s">
        <v>77</v>
      </c>
      <c r="B42" t="s">
        <v>130</v>
      </c>
      <c r="C42" t="s">
        <v>24</v>
      </c>
      <c r="D42" t="s">
        <v>62</v>
      </c>
      <c r="E42" t="s">
        <v>183</v>
      </c>
      <c r="F42" t="s">
        <v>180</v>
      </c>
      <c r="G42" t="s">
        <v>26</v>
      </c>
      <c r="H42">
        <v>2818241.62</v>
      </c>
      <c r="I42">
        <v>3306746.5</v>
      </c>
      <c r="J42">
        <v>623202.96</v>
      </c>
      <c r="K42">
        <v>457349.12</v>
      </c>
      <c r="L42">
        <v>2017907.62</v>
      </c>
      <c r="M42">
        <v>208286.8</v>
      </c>
      <c r="N42" s="1">
        <v>45742</v>
      </c>
      <c r="O42" s="1">
        <v>46095</v>
      </c>
      <c r="P42" s="1">
        <v>46078</v>
      </c>
      <c r="Q42">
        <v>-17</v>
      </c>
      <c r="R42">
        <v>7</v>
      </c>
      <c r="S42">
        <v>92502.51</v>
      </c>
      <c r="T42">
        <v>488504.87999999989</v>
      </c>
      <c r="U42">
        <v>17.329999999999998</v>
      </c>
      <c r="V42">
        <v>3.28</v>
      </c>
      <c r="W42" t="s">
        <v>27</v>
      </c>
      <c r="X42" t="str" cm="1">
        <f t="array" ref="X42">_xlfn.IFS(AND(U42&gt;5,W42="No"),"High Risk",OR(U42&gt;5,W42="No"),"Medium Risk",TRUE,"Clean")</f>
        <v>Medium Risk</v>
      </c>
      <c r="Y42" t="str" cm="1">
        <f t="array" ref="Y42">IFERROR(_xlfn.IFS(U42&gt;=15,"Critical",U42&gt;=5,"Watch",U42&gt;=-10,"On Track",U42&lt;-10,"Under Budget"),"No Data")</f>
        <v>Critical</v>
      </c>
      <c r="Z42" t="str" cm="1">
        <f t="array" ref="Z42">IFERROR(_xlfn.IFS(U42&gt;15,"High CO Impact",U42&gt;5,"Moderate CO Impact",U42&gt;0,"Low CO Impact",TRUE,"No Change Orders"),"No Data")</f>
        <v>High CO Impact</v>
      </c>
    </row>
    <row r="43" spans="1:26" x14ac:dyDescent="0.25">
      <c r="A43" t="s">
        <v>78</v>
      </c>
      <c r="B43" t="s">
        <v>131</v>
      </c>
      <c r="C43" t="s">
        <v>35</v>
      </c>
      <c r="D43" t="s">
        <v>32</v>
      </c>
      <c r="E43" t="s">
        <v>172</v>
      </c>
      <c r="F43" t="s">
        <v>175</v>
      </c>
      <c r="G43" t="s">
        <v>33</v>
      </c>
      <c r="H43">
        <v>7393555.2699999996</v>
      </c>
      <c r="I43">
        <v>5920135.0099999998</v>
      </c>
      <c r="J43">
        <v>1732681.95</v>
      </c>
      <c r="K43">
        <v>2452170.56</v>
      </c>
      <c r="L43">
        <v>368315.78</v>
      </c>
      <c r="M43">
        <v>1366966.73</v>
      </c>
      <c r="N43" s="1">
        <v>45376</v>
      </c>
      <c r="O43" s="1">
        <v>45563</v>
      </c>
      <c r="P43" s="1">
        <v>45557</v>
      </c>
      <c r="Q43">
        <v>-6</v>
      </c>
      <c r="R43">
        <v>2</v>
      </c>
      <c r="S43">
        <v>279776.21000000002</v>
      </c>
      <c r="T43">
        <v>-1473420.2599999998</v>
      </c>
      <c r="U43">
        <v>-19.93</v>
      </c>
      <c r="V43">
        <v>3.78</v>
      </c>
      <c r="W43" t="s">
        <v>27</v>
      </c>
      <c r="X43" t="str" cm="1">
        <f t="array" ref="X43">_xlfn.IFS(AND(U43&gt;5,W43="No"),"High Risk",OR(U43&gt;5,W43="No"),"Medium Risk",TRUE,"Clean")</f>
        <v>Clean</v>
      </c>
      <c r="Y43" t="str" cm="1">
        <f t="array" ref="Y43">IFERROR(_xlfn.IFS(U43&gt;=15,"Critical",U43&gt;=5,"Watch",U43&gt;=-10,"On Track",U43&lt;-10,"Under Budget"),"No Data")</f>
        <v>Under Budget</v>
      </c>
      <c r="Z43" t="str" cm="1">
        <f t="array" ref="Z43">IFERROR(_xlfn.IFS(U43&gt;15,"High CO Impact",U43&gt;5,"Moderate CO Impact",U43&gt;0,"Low CO Impact",TRUE,"No Change Orders"),"No Data")</f>
        <v>No Change Orders</v>
      </c>
    </row>
    <row r="44" spans="1:26" x14ac:dyDescent="0.25">
      <c r="A44" t="s">
        <v>79</v>
      </c>
      <c r="B44" t="s">
        <v>132</v>
      </c>
      <c r="C44" t="s">
        <v>24</v>
      </c>
      <c r="D44" t="s">
        <v>32</v>
      </c>
      <c r="E44" t="s">
        <v>162</v>
      </c>
      <c r="F44" t="s">
        <v>189</v>
      </c>
      <c r="G44" t="s">
        <v>26</v>
      </c>
      <c r="H44">
        <v>8105107.8200000003</v>
      </c>
      <c r="I44">
        <v>10088360.810000001</v>
      </c>
      <c r="J44">
        <v>6381537.2400000002</v>
      </c>
      <c r="K44">
        <v>207744.73</v>
      </c>
      <c r="L44">
        <v>896318.31</v>
      </c>
      <c r="M44">
        <v>2602760.5299999998</v>
      </c>
      <c r="N44" s="1">
        <v>46035</v>
      </c>
      <c r="O44" s="1">
        <v>46310</v>
      </c>
      <c r="P44" s="1">
        <v>46320</v>
      </c>
      <c r="Q44">
        <v>10</v>
      </c>
      <c r="R44">
        <v>6</v>
      </c>
      <c r="S44">
        <v>573763.38</v>
      </c>
      <c r="T44">
        <v>1983252.9900000002</v>
      </c>
      <c r="U44">
        <v>24.47</v>
      </c>
      <c r="V44">
        <v>7.08</v>
      </c>
      <c r="W44" t="s">
        <v>30</v>
      </c>
      <c r="X44" t="str" cm="1">
        <f t="array" ref="X44">_xlfn.IFS(AND(U44&gt;5,W44="No"),"High Risk",OR(U44&gt;5,W44="No"),"Medium Risk",TRUE,"Clean")</f>
        <v>High Risk</v>
      </c>
      <c r="Y44" t="str" cm="1">
        <f t="array" ref="Y44">IFERROR(_xlfn.IFS(U44&gt;=15,"Critical",U44&gt;=5,"Watch",U44&gt;=-10,"On Track",U44&lt;-10,"Under Budget"),"No Data")</f>
        <v>Critical</v>
      </c>
      <c r="Z44" t="str" cm="1">
        <f t="array" ref="Z44">IFERROR(_xlfn.IFS(U44&gt;15,"High CO Impact",U44&gt;5,"Moderate CO Impact",U44&gt;0,"Low CO Impact",TRUE,"No Change Orders"),"No Data")</f>
        <v>High CO Impact</v>
      </c>
    </row>
    <row r="45" spans="1:26" x14ac:dyDescent="0.25">
      <c r="A45" t="s">
        <v>80</v>
      </c>
      <c r="B45" t="s">
        <v>133</v>
      </c>
      <c r="C45" t="s">
        <v>37</v>
      </c>
      <c r="D45" t="s">
        <v>62</v>
      </c>
      <c r="E45" t="s">
        <v>164</v>
      </c>
      <c r="F45" t="s">
        <v>174</v>
      </c>
      <c r="G45" t="s">
        <v>26</v>
      </c>
      <c r="H45">
        <v>5345741.49</v>
      </c>
      <c r="I45">
        <v>5895004.1699999999</v>
      </c>
      <c r="J45">
        <v>2490775.66</v>
      </c>
      <c r="K45">
        <v>562129.98</v>
      </c>
      <c r="L45">
        <v>1538582.15</v>
      </c>
      <c r="M45">
        <v>1303516.3799999999</v>
      </c>
      <c r="N45" s="1">
        <v>45354</v>
      </c>
      <c r="O45" s="1">
        <v>45510</v>
      </c>
      <c r="P45" s="1">
        <v>45471</v>
      </c>
      <c r="Q45">
        <v>-39</v>
      </c>
      <c r="R45">
        <v>1</v>
      </c>
      <c r="S45">
        <v>95436.94</v>
      </c>
      <c r="T45">
        <v>549262.6799999997</v>
      </c>
      <c r="U45">
        <v>10.27</v>
      </c>
      <c r="V45">
        <v>1.79</v>
      </c>
      <c r="W45" t="s">
        <v>27</v>
      </c>
      <c r="X45" t="str" cm="1">
        <f t="array" ref="X45">_xlfn.IFS(AND(U45&gt;5,W45="No"),"High Risk",OR(U45&gt;5,W45="No"),"Medium Risk",TRUE,"Clean")</f>
        <v>Medium Risk</v>
      </c>
      <c r="Y45" t="str" cm="1">
        <f t="array" ref="Y45">IFERROR(_xlfn.IFS(U45&gt;=15,"Critical",U45&gt;=5,"Watch",U45&gt;=-10,"On Track",U45&lt;-10,"Under Budget"),"No Data")</f>
        <v>Watch</v>
      </c>
      <c r="Z45" t="str" cm="1">
        <f t="array" ref="Z45">IFERROR(_xlfn.IFS(U45&gt;15,"High CO Impact",U45&gt;5,"Moderate CO Impact",U45&gt;0,"Low CO Impact",TRUE,"No Change Orders"),"No Data")</f>
        <v>Moderate CO Impact</v>
      </c>
    </row>
    <row r="46" spans="1:26" x14ac:dyDescent="0.25">
      <c r="A46" t="s">
        <v>81</v>
      </c>
      <c r="B46" t="s">
        <v>134</v>
      </c>
      <c r="C46" t="s">
        <v>91</v>
      </c>
      <c r="D46" t="s">
        <v>25</v>
      </c>
      <c r="E46" t="s">
        <v>181</v>
      </c>
      <c r="F46" t="s">
        <v>182</v>
      </c>
      <c r="G46" t="s">
        <v>33</v>
      </c>
      <c r="H46">
        <v>3249539.73</v>
      </c>
      <c r="I46">
        <v>3517217.06</v>
      </c>
      <c r="J46">
        <v>265249.38</v>
      </c>
      <c r="K46">
        <v>1322966.7</v>
      </c>
      <c r="L46">
        <v>592506.62</v>
      </c>
      <c r="M46">
        <v>1336494.3500000001</v>
      </c>
      <c r="N46" s="1">
        <v>45046</v>
      </c>
      <c r="O46" s="1">
        <v>45131</v>
      </c>
      <c r="P46" s="1">
        <v>45171</v>
      </c>
      <c r="Q46">
        <v>40</v>
      </c>
      <c r="R46">
        <v>4</v>
      </c>
      <c r="S46">
        <v>54139.17</v>
      </c>
      <c r="T46">
        <v>267677.33000000007</v>
      </c>
      <c r="U46">
        <v>8.24</v>
      </c>
      <c r="V46">
        <v>1.67</v>
      </c>
      <c r="W46" t="s">
        <v>30</v>
      </c>
      <c r="X46" t="str" cm="1">
        <f t="array" ref="X46">_xlfn.IFS(AND(U46&gt;5,W46="No"),"High Risk",OR(U46&gt;5,W46="No"),"Medium Risk",TRUE,"Clean")</f>
        <v>High Risk</v>
      </c>
      <c r="Y46" t="str" cm="1">
        <f t="array" ref="Y46">IFERROR(_xlfn.IFS(U46&gt;=15,"Critical",U46&gt;=5,"Watch",U46&gt;=-10,"On Track",U46&lt;-10,"Under Budget"),"No Data")</f>
        <v>Watch</v>
      </c>
      <c r="Z46" t="str" cm="1">
        <f t="array" ref="Z46">IFERROR(_xlfn.IFS(U46&gt;15,"High CO Impact",U46&gt;5,"Moderate CO Impact",U46&gt;0,"Low CO Impact",TRUE,"No Change Orders"),"No Data")</f>
        <v>Moderate CO Impact</v>
      </c>
    </row>
    <row r="47" spans="1:26" x14ac:dyDescent="0.25">
      <c r="A47" t="s">
        <v>82</v>
      </c>
      <c r="B47" t="s">
        <v>135</v>
      </c>
      <c r="C47" t="s">
        <v>37</v>
      </c>
      <c r="D47" t="s">
        <v>32</v>
      </c>
      <c r="E47" t="s">
        <v>181</v>
      </c>
      <c r="F47" t="s">
        <v>186</v>
      </c>
      <c r="G47" t="s">
        <v>33</v>
      </c>
      <c r="H47">
        <v>2154104.88</v>
      </c>
      <c r="I47">
        <v>2542588.9700000002</v>
      </c>
      <c r="J47">
        <v>235382.8</v>
      </c>
      <c r="K47">
        <v>2084067.19</v>
      </c>
      <c r="L47">
        <v>87879.39</v>
      </c>
      <c r="M47">
        <v>135259.59</v>
      </c>
      <c r="N47" s="1">
        <v>45075</v>
      </c>
      <c r="O47" s="1">
        <v>45311</v>
      </c>
      <c r="P47" s="1">
        <v>45307</v>
      </c>
      <c r="Q47">
        <v>-4</v>
      </c>
      <c r="R47">
        <v>6</v>
      </c>
      <c r="S47">
        <v>41379.25</v>
      </c>
      <c r="T47">
        <v>388484.09000000032</v>
      </c>
      <c r="U47">
        <v>18.03</v>
      </c>
      <c r="V47">
        <v>1.92</v>
      </c>
      <c r="W47" t="s">
        <v>27</v>
      </c>
      <c r="X47" t="str" cm="1">
        <f t="array" ref="X47">_xlfn.IFS(AND(U47&gt;5,W47="No"),"High Risk",OR(U47&gt;5,W47="No"),"Medium Risk",TRUE,"Clean")</f>
        <v>Medium Risk</v>
      </c>
      <c r="Y47" t="str" cm="1">
        <f t="array" ref="Y47">IFERROR(_xlfn.IFS(U47&gt;=15,"Critical",U47&gt;=5,"Watch",U47&gt;=-10,"On Track",U47&lt;-10,"Under Budget"),"No Data")</f>
        <v>Critical</v>
      </c>
      <c r="Z47" t="str" cm="1">
        <f t="array" ref="Z47">IFERROR(_xlfn.IFS(U47&gt;15,"High CO Impact",U47&gt;5,"Moderate CO Impact",U47&gt;0,"Low CO Impact",TRUE,"No Change Orders"),"No Data")</f>
        <v>High CO Impact</v>
      </c>
    </row>
    <row r="48" spans="1:26" x14ac:dyDescent="0.25">
      <c r="A48" t="s">
        <v>83</v>
      </c>
      <c r="B48" t="s">
        <v>136</v>
      </c>
      <c r="C48" t="s">
        <v>37</v>
      </c>
      <c r="D48" t="s">
        <v>32</v>
      </c>
      <c r="E48" t="s">
        <v>166</v>
      </c>
      <c r="F48" t="s">
        <v>165</v>
      </c>
      <c r="G48" t="s">
        <v>26</v>
      </c>
      <c r="H48">
        <v>1308449.5</v>
      </c>
      <c r="I48">
        <v>1017166.6</v>
      </c>
      <c r="J48">
        <v>124335.2</v>
      </c>
      <c r="K48">
        <v>198256.89</v>
      </c>
      <c r="L48">
        <v>354341.92</v>
      </c>
      <c r="M48">
        <v>340232.59</v>
      </c>
      <c r="N48" s="1">
        <v>45936</v>
      </c>
      <c r="O48" s="1">
        <v>46009</v>
      </c>
      <c r="P48" s="1">
        <v>46053</v>
      </c>
      <c r="Q48">
        <v>44</v>
      </c>
      <c r="R48">
        <v>5</v>
      </c>
      <c r="S48">
        <v>34091.629999999997</v>
      </c>
      <c r="T48">
        <v>-291282.90000000002</v>
      </c>
      <c r="U48">
        <v>-22.26</v>
      </c>
      <c r="V48">
        <v>2.61</v>
      </c>
      <c r="W48" t="s">
        <v>30</v>
      </c>
      <c r="X48" t="str" cm="1">
        <f t="array" ref="X48">_xlfn.IFS(AND(U48&gt;5,W48="No"),"High Risk",OR(U48&gt;5,W48="No"),"Medium Risk",TRUE,"Clean")</f>
        <v>Medium Risk</v>
      </c>
      <c r="Y48" t="str" cm="1">
        <f t="array" ref="Y48">IFERROR(_xlfn.IFS(U48&gt;=15,"Critical",U48&gt;=5,"Watch",U48&gt;=-10,"On Track",U48&lt;-10,"Under Budget"),"No Data")</f>
        <v>Under Budget</v>
      </c>
      <c r="Z48" t="str" cm="1">
        <f t="array" ref="Z48">IFERROR(_xlfn.IFS(U48&gt;15,"High CO Impact",U48&gt;5,"Moderate CO Impact",U48&gt;0,"Low CO Impact",TRUE,"No Change Orders"),"No Data")</f>
        <v>No Change Orders</v>
      </c>
    </row>
    <row r="49" spans="1:26" x14ac:dyDescent="0.25">
      <c r="A49" t="s">
        <v>84</v>
      </c>
      <c r="B49" t="s">
        <v>137</v>
      </c>
      <c r="C49" t="s">
        <v>24</v>
      </c>
      <c r="D49" t="s">
        <v>62</v>
      </c>
      <c r="E49" t="s">
        <v>181</v>
      </c>
      <c r="F49" t="s">
        <v>182</v>
      </c>
      <c r="G49" t="s">
        <v>26</v>
      </c>
      <c r="H49">
        <v>13402808.050000001</v>
      </c>
      <c r="I49">
        <v>13597034.939999999</v>
      </c>
      <c r="J49">
        <v>4966133.1100000003</v>
      </c>
      <c r="K49">
        <v>3580931.92</v>
      </c>
      <c r="L49">
        <v>4082202.3</v>
      </c>
      <c r="M49">
        <v>967767.62</v>
      </c>
      <c r="N49" s="1">
        <v>45733</v>
      </c>
      <c r="O49" s="1">
        <v>45918</v>
      </c>
      <c r="P49" s="1">
        <v>45923</v>
      </c>
      <c r="Q49">
        <v>5</v>
      </c>
      <c r="R49">
        <v>8</v>
      </c>
      <c r="S49">
        <v>370173.14</v>
      </c>
      <c r="T49">
        <v>194226.88999999873</v>
      </c>
      <c r="U49">
        <v>1.45</v>
      </c>
      <c r="V49">
        <v>2.76</v>
      </c>
      <c r="W49" t="s">
        <v>30</v>
      </c>
      <c r="X49" t="str" cm="1">
        <f t="array" ref="X49">_xlfn.IFS(AND(U49&gt;5,W49="No"),"High Risk",OR(U49&gt;5,W49="No"),"Medium Risk",TRUE,"Clean")</f>
        <v>Medium Risk</v>
      </c>
      <c r="Y49" t="str" cm="1">
        <f t="array" ref="Y49">IFERROR(_xlfn.IFS(U49&gt;=15,"Critical",U49&gt;=5,"Watch",U49&gt;=-10,"On Track",U49&lt;-10,"Under Budget"),"No Data")</f>
        <v>On Track</v>
      </c>
      <c r="Z49" t="str" cm="1">
        <f t="array" ref="Z49">IFERROR(_xlfn.IFS(U49&gt;15,"High CO Impact",U49&gt;5,"Moderate CO Impact",U49&gt;0,"Low CO Impact",TRUE,"No Change Orders"),"No Data")</f>
        <v>Low CO Impact</v>
      </c>
    </row>
    <row r="50" spans="1:26" x14ac:dyDescent="0.25">
      <c r="A50" t="s">
        <v>85</v>
      </c>
      <c r="B50" t="s">
        <v>138</v>
      </c>
      <c r="C50" t="s">
        <v>24</v>
      </c>
      <c r="D50" t="s">
        <v>32</v>
      </c>
      <c r="E50" t="s">
        <v>162</v>
      </c>
      <c r="F50" t="s">
        <v>187</v>
      </c>
      <c r="G50" t="s">
        <v>92</v>
      </c>
      <c r="H50">
        <v>3720727.75</v>
      </c>
      <c r="I50">
        <v>4294279.5199999996</v>
      </c>
      <c r="J50">
        <v>911834.34</v>
      </c>
      <c r="K50">
        <v>2235082.4700000002</v>
      </c>
      <c r="L50">
        <v>811622.69</v>
      </c>
      <c r="M50">
        <v>335740.02</v>
      </c>
      <c r="N50" s="1">
        <v>45237</v>
      </c>
      <c r="O50" s="1">
        <v>45428</v>
      </c>
      <c r="P50" s="1">
        <v>45394</v>
      </c>
      <c r="Q50">
        <v>-34</v>
      </c>
      <c r="R50">
        <v>1</v>
      </c>
      <c r="S50">
        <v>53997.919999999998</v>
      </c>
      <c r="T50">
        <v>573551.76999999955</v>
      </c>
      <c r="U50">
        <v>15.42</v>
      </c>
      <c r="V50">
        <v>1.45</v>
      </c>
      <c r="W50" t="s">
        <v>27</v>
      </c>
      <c r="X50" t="str" cm="1">
        <f t="array" ref="X50">_xlfn.IFS(AND(U50&gt;5,W50="No"),"High Risk",OR(U50&gt;5,W50="No"),"Medium Risk",TRUE,"Clean")</f>
        <v>Medium Risk</v>
      </c>
      <c r="Y50" t="str" cm="1">
        <f t="array" ref="Y50">IFERROR(_xlfn.IFS(U50&gt;=15,"Critical",U50&gt;=5,"Watch",U50&gt;=-10,"On Track",U50&lt;-10,"Under Budget"),"No Data")</f>
        <v>Critical</v>
      </c>
      <c r="Z50" t="str" cm="1">
        <f t="array" ref="Z50">IFERROR(_xlfn.IFS(U50&gt;15,"High CO Impact",U50&gt;5,"Moderate CO Impact",U50&gt;0,"Low CO Impact",TRUE,"No Change Orders"),"No Data")</f>
        <v>High CO Impact</v>
      </c>
    </row>
    <row r="51" spans="1:26" x14ac:dyDescent="0.25">
      <c r="A51" t="s">
        <v>86</v>
      </c>
      <c r="B51" t="s">
        <v>139</v>
      </c>
      <c r="C51" t="s">
        <v>91</v>
      </c>
      <c r="D51" t="s">
        <v>25</v>
      </c>
      <c r="E51" t="s">
        <v>181</v>
      </c>
      <c r="F51" t="s">
        <v>176</v>
      </c>
      <c r="G51" t="s">
        <v>33</v>
      </c>
      <c r="H51">
        <v>7708954.04</v>
      </c>
      <c r="I51">
        <v>6775095.5199999996</v>
      </c>
      <c r="J51">
        <v>1916824.16</v>
      </c>
      <c r="K51">
        <v>1228758.53</v>
      </c>
      <c r="L51">
        <v>2687292.34</v>
      </c>
      <c r="M51">
        <v>942220.49</v>
      </c>
      <c r="N51" s="1">
        <v>45785</v>
      </c>
      <c r="O51" s="1">
        <v>46130</v>
      </c>
      <c r="P51" s="1">
        <v>46154</v>
      </c>
      <c r="Q51">
        <v>24</v>
      </c>
      <c r="R51">
        <v>6</v>
      </c>
      <c r="S51">
        <v>798925.41</v>
      </c>
      <c r="T51">
        <v>-933858.52000000048</v>
      </c>
      <c r="U51">
        <v>-12.11</v>
      </c>
      <c r="V51">
        <v>10.36</v>
      </c>
      <c r="W51" t="s">
        <v>30</v>
      </c>
      <c r="X51" t="str" cm="1">
        <f t="array" ref="X51">_xlfn.IFS(AND(U51&gt;5,W51="No"),"High Risk",OR(U51&gt;5,W51="No"),"Medium Risk",TRUE,"Clean")</f>
        <v>Medium Risk</v>
      </c>
      <c r="Y51" t="str" cm="1">
        <f t="array" ref="Y51">IFERROR(_xlfn.IFS(U51&gt;=15,"Critical",U51&gt;=5,"Watch",U51&gt;=-10,"On Track",U51&lt;-10,"Under Budget"),"No Data")</f>
        <v>Under Budget</v>
      </c>
      <c r="Z51" t="str" cm="1">
        <f t="array" ref="Z51">IFERROR(_xlfn.IFS(U51&gt;15,"High CO Impact",U51&gt;5,"Moderate CO Impact",U51&gt;0,"Low CO Impact",TRUE,"No Change Orders"),"No Data")</f>
        <v>No Change Orders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C23A-570D-4064-8FE1-8860583722E8}">
  <sheetPr>
    <tabColor theme="1" tint="4.9989318521683403E-2"/>
  </sheetPr>
  <dimension ref="A1:B15"/>
  <sheetViews>
    <sheetView workbookViewId="0">
      <selection activeCell="B12" sqref="B12"/>
    </sheetView>
  </sheetViews>
  <sheetFormatPr defaultRowHeight="15" x14ac:dyDescent="0.25"/>
  <cols>
    <col min="1" max="1" width="23.7109375" bestFit="1" customWidth="1"/>
    <col min="2" max="3" width="28" bestFit="1" customWidth="1"/>
    <col min="4" max="4" width="20.140625" bestFit="1" customWidth="1"/>
  </cols>
  <sheetData>
    <row r="1" spans="1:2" x14ac:dyDescent="0.25">
      <c r="A1" s="2" t="s">
        <v>157</v>
      </c>
      <c r="B1" t="s">
        <v>159</v>
      </c>
    </row>
    <row r="2" spans="1:2" x14ac:dyDescent="0.25">
      <c r="A2" s="3" t="s">
        <v>37</v>
      </c>
      <c r="B2" s="6">
        <v>1.1609090909090909</v>
      </c>
    </row>
    <row r="3" spans="1:2" x14ac:dyDescent="0.25">
      <c r="A3" s="3" t="s">
        <v>91</v>
      </c>
      <c r="B3" s="6">
        <v>5.0181818181818185</v>
      </c>
    </row>
    <row r="4" spans="1:2" x14ac:dyDescent="0.25">
      <c r="A4" s="3" t="s">
        <v>35</v>
      </c>
      <c r="B4" s="6">
        <v>2.6740000000000004</v>
      </c>
    </row>
    <row r="5" spans="1:2" x14ac:dyDescent="0.25">
      <c r="A5" s="3" t="s">
        <v>24</v>
      </c>
      <c r="B5" s="6">
        <v>0.3576923076923077</v>
      </c>
    </row>
    <row r="6" spans="1:2" x14ac:dyDescent="0.25">
      <c r="A6" s="3" t="s">
        <v>158</v>
      </c>
      <c r="B6" s="6">
        <v>2.2545999999999999</v>
      </c>
    </row>
    <row r="10" spans="1:2" x14ac:dyDescent="0.25">
      <c r="A10" s="2" t="s">
        <v>157</v>
      </c>
      <c r="B10" t="s">
        <v>160</v>
      </c>
    </row>
    <row r="11" spans="1:2" x14ac:dyDescent="0.25">
      <c r="A11" s="3" t="s">
        <v>32</v>
      </c>
      <c r="B11" s="6">
        <v>2.1052631578947367</v>
      </c>
    </row>
    <row r="12" spans="1:2" x14ac:dyDescent="0.25">
      <c r="A12" s="3" t="s">
        <v>62</v>
      </c>
      <c r="B12" s="6">
        <v>-0.15384615384615385</v>
      </c>
    </row>
    <row r="13" spans="1:2" x14ac:dyDescent="0.25">
      <c r="A13" s="3" t="s">
        <v>40</v>
      </c>
      <c r="B13" s="6">
        <v>-11.7</v>
      </c>
    </row>
    <row r="14" spans="1:2" x14ac:dyDescent="0.25">
      <c r="A14" s="3" t="s">
        <v>25</v>
      </c>
      <c r="B14" s="6">
        <v>8.25</v>
      </c>
    </row>
    <row r="15" spans="1:2" x14ac:dyDescent="0.25">
      <c r="A15" s="3" t="s">
        <v>158</v>
      </c>
      <c r="B15" s="6">
        <v>-0.26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C0C2-3C2B-41F4-9B99-865C6564B104}">
  <sheetPr>
    <tabColor rgb="FF002060"/>
  </sheetPr>
  <dimension ref="B1:I18"/>
  <sheetViews>
    <sheetView showGridLines="0" showRowColHeaders="0" tabSelected="1" topLeftCell="A16" workbookViewId="0">
      <selection activeCell="M23" sqref="M23"/>
    </sheetView>
  </sheetViews>
  <sheetFormatPr defaultRowHeight="30" customHeight="1" x14ac:dyDescent="0.25"/>
  <cols>
    <col min="1" max="1" width="2.7109375" style="7" customWidth="1"/>
    <col min="2" max="9" width="25.7109375" style="7" customWidth="1"/>
    <col min="10" max="10" width="2.7109375" style="7" customWidth="1"/>
    <col min="11" max="16384" width="9.140625" style="7"/>
  </cols>
  <sheetData>
    <row r="1" spans="2:9" ht="30" customHeight="1" thickBot="1" x14ac:dyDescent="0.3"/>
    <row r="2" spans="2:9" ht="30" customHeight="1" thickBot="1" x14ac:dyDescent="0.4">
      <c r="B2" s="8" t="s">
        <v>140</v>
      </c>
      <c r="C2" s="9"/>
      <c r="D2" s="9"/>
      <c r="E2" s="9"/>
      <c r="F2" s="9"/>
      <c r="G2" s="9"/>
      <c r="H2" s="9"/>
      <c r="I2" s="10"/>
    </row>
    <row r="3" spans="2:9" ht="30" customHeight="1" thickBot="1" x14ac:dyDescent="0.3"/>
    <row r="4" spans="2:9" ht="30" customHeight="1" thickBot="1" x14ac:dyDescent="0.3">
      <c r="B4" s="11" t="s">
        <v>145</v>
      </c>
      <c r="C4" s="12" t="s">
        <v>190</v>
      </c>
    </row>
    <row r="5" spans="2:9" ht="30" customHeight="1" thickBot="1" x14ac:dyDescent="0.3"/>
    <row r="6" spans="2:9" ht="30" customHeight="1" x14ac:dyDescent="0.25">
      <c r="B6" s="13" t="s">
        <v>141</v>
      </c>
      <c r="C6" s="14"/>
      <c r="D6" s="13" t="s">
        <v>142</v>
      </c>
      <c r="E6" s="14"/>
      <c r="F6" s="13" t="s">
        <v>143</v>
      </c>
      <c r="G6" s="14"/>
      <c r="H6" s="13" t="s">
        <v>144</v>
      </c>
      <c r="I6" s="14"/>
    </row>
    <row r="7" spans="2:9" ht="30" customHeight="1" thickBot="1" x14ac:dyDescent="0.35">
      <c r="B7" s="15">
        <f>SUM(ProjectData[Budgeted_Cost])</f>
        <v>375070028.03000003</v>
      </c>
      <c r="C7" s="16"/>
      <c r="D7" s="15">
        <f>SUM(ProjectData[Actual_Cost])</f>
        <v>379205869.82000005</v>
      </c>
      <c r="E7" s="16"/>
      <c r="F7" s="15">
        <f>SUM(ProjectData[Cost_Variance])</f>
        <v>4135841.7899999982</v>
      </c>
      <c r="G7" s="16"/>
      <c r="H7" s="17">
        <f>COUNTIF(ProjectData[On_Time],"Yes")/COUNTA(ProjectData[On_Time])</f>
        <v>0.5</v>
      </c>
      <c r="I7" s="18"/>
    </row>
    <row r="8" spans="2:9" ht="30" customHeight="1" thickBot="1" x14ac:dyDescent="0.3"/>
    <row r="9" spans="2:9" ht="30" customHeight="1" x14ac:dyDescent="0.25">
      <c r="B9" s="13" t="s">
        <v>146</v>
      </c>
      <c r="C9" s="14"/>
      <c r="D9" s="13" t="s">
        <v>147</v>
      </c>
      <c r="E9" s="14"/>
      <c r="F9" s="13" t="s">
        <v>148</v>
      </c>
      <c r="G9" s="14"/>
      <c r="H9" s="13" t="s">
        <v>149</v>
      </c>
      <c r="I9" s="14"/>
    </row>
    <row r="10" spans="2:9" ht="30" customHeight="1" thickBot="1" x14ac:dyDescent="0.35">
      <c r="B10" s="19">
        <f>IFERROR(IF(C4="All",COUNTA(ProjectData[Project_ID]),COUNTIF(ProjectData[Region],C4)),0)</f>
        <v>50</v>
      </c>
      <c r="C10" s="20"/>
      <c r="D10" s="15">
        <f>IFERROR(IF(C4="All",SUM(ProjectData[Budgeted_Cost]),SUMIF(ProjectData[Region],C4,ProjectData[Budgeted_Cost])),0)</f>
        <v>375070028.03000003</v>
      </c>
      <c r="E10" s="16"/>
      <c r="F10" s="15">
        <f>IFERROR(IF(C4="All",SUM(ProjectData[Actual_Cost]),SUMIF(ProjectData[Region],C4,ProjectData[Actual_Cost])),0)</f>
        <v>379205869.82000005</v>
      </c>
      <c r="G10" s="16"/>
      <c r="H10" s="17">
        <f>IFERROR(IF(C4="All",COUNTIF(ProjectData[On_Time],"Yes")/COUNTA(ProjectData[On_Time]),COUNTIFS(ProjectData[Region],C4,ProjectData[On_Time],"Yes")/COUNTIF(ProjectData[Region],C4)),0)</f>
        <v>0.5</v>
      </c>
      <c r="I10" s="18"/>
    </row>
    <row r="11" spans="2:9" ht="30" customHeight="1" thickBot="1" x14ac:dyDescent="0.3"/>
    <row r="12" spans="2:9" ht="30" customHeight="1" x14ac:dyDescent="0.25">
      <c r="B12" s="13" t="s">
        <v>156</v>
      </c>
      <c r="C12" s="21"/>
      <c r="D12" s="21"/>
      <c r="E12" s="21"/>
      <c r="F12" s="21"/>
      <c r="G12" s="21"/>
      <c r="H12" s="21"/>
      <c r="I12" s="14"/>
    </row>
    <row r="13" spans="2:9" ht="30" customHeight="1" x14ac:dyDescent="0.25">
      <c r="B13" s="22" t="s">
        <v>150</v>
      </c>
      <c r="C13" s="23" t="s">
        <v>151</v>
      </c>
      <c r="D13" s="23" t="s">
        <v>152</v>
      </c>
      <c r="E13" s="23" t="s">
        <v>3</v>
      </c>
      <c r="F13" s="23" t="s">
        <v>153</v>
      </c>
      <c r="G13" s="23" t="s">
        <v>154</v>
      </c>
      <c r="H13" s="23" t="s">
        <v>143</v>
      </c>
      <c r="I13" s="24" t="s">
        <v>155</v>
      </c>
    </row>
    <row r="14" spans="2:9" ht="30" customHeight="1" x14ac:dyDescent="0.25">
      <c r="B14" s="25" t="str">
        <f>IFERROR(_xlfn.XLOOKUP(LARGE(ProjectData[Cost_Variance],ROW()-13),ProjectData[Cost_Variance],ProjectData[Project_ID]),"")</f>
        <v>OG-1009</v>
      </c>
      <c r="C14" s="31" t="str">
        <f>IFERROR(_xlfn.XLOOKUP(B14,ProjectData[Project_ID],ProjectData[Project_Name]),"")</f>
        <v>Midland Pipeline Construction 10</v>
      </c>
      <c r="D14" s="31" t="str">
        <f>IFERROR(_xlfn.XLOOKUP(B14,ProjectData[Project_ID],ProjectData[Project_Type]),"")</f>
        <v>Pipeline Construction</v>
      </c>
      <c r="E14" s="32" t="str">
        <f>IFERROR(_xlfn.XLOOKUP(B14,ProjectData[Project_ID],ProjectData[Region]),"")</f>
        <v>Midland</v>
      </c>
      <c r="F14" s="33">
        <f>IFERROR(_xlfn.XLOOKUP(B14,ProjectData[Project_ID],ProjectData[Budgeted_Cost]),"")</f>
        <v>13899941.42</v>
      </c>
      <c r="G14" s="33">
        <f>IFERROR(_xlfn.XLOOKUP(B14,ProjectData[Project_ID],ProjectData[Actual_Cost]),"")</f>
        <v>16952211.649999999</v>
      </c>
      <c r="H14" s="33">
        <f>IFERROR(_xlfn.XLOOKUP(B14,ProjectData[Project_ID],ProjectData[Cost_Variance]),"")</f>
        <v>3052270.2299999986</v>
      </c>
      <c r="I14" s="34">
        <f>IFERROR(_xlfn.XLOOKUP(B14,ProjectData[Project_ID],ProjectData[Cost_Variance_Pct]),"")</f>
        <v>21.96</v>
      </c>
    </row>
    <row r="15" spans="2:9" ht="30" customHeight="1" x14ac:dyDescent="0.25">
      <c r="B15" s="30" t="str">
        <f>IFERROR(_xlfn.XLOOKUP(LARGE(ProjectData[Cost_Variance],ROW()-13),ProjectData[Cost_Variance],ProjectData[Project_ID]),"")</f>
        <v>OG-1026</v>
      </c>
      <c r="C15" s="35" t="str">
        <f>IFERROR(_xlfn.XLOOKUP(B15,ProjectData[Project_ID],ProjectData[Project_Name]),"")</f>
        <v>Gulf Coast Pipeline Construction 27</v>
      </c>
      <c r="D15" s="35" t="str">
        <f>IFERROR(_xlfn.XLOOKUP(B15,ProjectData[Project_ID],ProjectData[Project_Type]),"")</f>
        <v>Pipeline Construction</v>
      </c>
      <c r="E15" s="36" t="str">
        <f>IFERROR(_xlfn.XLOOKUP(B15,ProjectData[Project_ID],ProjectData[Region]),"")</f>
        <v>Gulf Coast</v>
      </c>
      <c r="F15" s="37">
        <f>IFERROR(_xlfn.XLOOKUP(B15,ProjectData[Project_ID],ProjectData[Budgeted_Cost]),"")</f>
        <v>12648590.57</v>
      </c>
      <c r="G15" s="37">
        <f>IFERROR(_xlfn.XLOOKUP(B15,ProjectData[Project_ID],ProjectData[Actual_Cost]),"")</f>
        <v>15411586.85</v>
      </c>
      <c r="H15" s="37">
        <f>IFERROR(_xlfn.XLOOKUP(B15,ProjectData[Project_ID],ProjectData[Cost_Variance]),"")</f>
        <v>2762996.2799999993</v>
      </c>
      <c r="I15" s="34">
        <f>IFERROR(_xlfn.XLOOKUP(B15,ProjectData[Project_ID],ProjectData[Cost_Variance_Pct]),"")</f>
        <v>21.84</v>
      </c>
    </row>
    <row r="16" spans="2:9" ht="30" customHeight="1" x14ac:dyDescent="0.25">
      <c r="B16" s="25" t="str">
        <f>IFERROR(_xlfn.XLOOKUP(LARGE(ProjectData[Cost_Variance],ROW()-13),ProjectData[Cost_Variance],ProjectData[Project_ID]),"")</f>
        <v>OG-1042</v>
      </c>
      <c r="C16" s="31" t="str">
        <f>IFERROR(_xlfn.XLOOKUP(B16,ProjectData[Project_ID],ProjectData[Project_Name]),"")</f>
        <v>Eagle Ford Well Drilling 43</v>
      </c>
      <c r="D16" s="31" t="str">
        <f>IFERROR(_xlfn.XLOOKUP(B16,ProjectData[Project_ID],ProjectData[Project_Type]),"")</f>
        <v>Well Drilling</v>
      </c>
      <c r="E16" s="32" t="str">
        <f>IFERROR(_xlfn.XLOOKUP(B16,ProjectData[Project_ID],ProjectData[Region]),"")</f>
        <v>Eagle Ford</v>
      </c>
      <c r="F16" s="33">
        <f>IFERROR(_xlfn.XLOOKUP(B16,ProjectData[Project_ID],ProjectData[Budgeted_Cost]),"")</f>
        <v>8105107.8200000003</v>
      </c>
      <c r="G16" s="33">
        <f>IFERROR(_xlfn.XLOOKUP(B16,ProjectData[Project_ID],ProjectData[Actual_Cost]),"")</f>
        <v>10088360.810000001</v>
      </c>
      <c r="H16" s="33">
        <f>IFERROR(_xlfn.XLOOKUP(B16,ProjectData[Project_ID],ProjectData[Cost_Variance]),"")</f>
        <v>1983252.9900000002</v>
      </c>
      <c r="I16" s="34">
        <f>IFERROR(_xlfn.XLOOKUP(B16,ProjectData[Project_ID],ProjectData[Cost_Variance_Pct]),"")</f>
        <v>24.47</v>
      </c>
    </row>
    <row r="17" spans="2:9" ht="30" customHeight="1" x14ac:dyDescent="0.25">
      <c r="B17" s="30" t="str">
        <f>IFERROR(_xlfn.XLOOKUP(LARGE(ProjectData[Cost_Variance],ROW()-13),ProjectData[Cost_Variance],ProjectData[Project_ID]),"")</f>
        <v>OG-1024</v>
      </c>
      <c r="C17" s="35" t="str">
        <f>IFERROR(_xlfn.XLOOKUP(B17,ProjectData[Project_ID],ProjectData[Project_Name]),"")</f>
        <v>Gulf Coast Well Drilling 25</v>
      </c>
      <c r="D17" s="35" t="str">
        <f>IFERROR(_xlfn.XLOOKUP(B17,ProjectData[Project_ID],ProjectData[Project_Type]),"")</f>
        <v>Well Drilling</v>
      </c>
      <c r="E17" s="36" t="str">
        <f>IFERROR(_xlfn.XLOOKUP(B17,ProjectData[Project_ID],ProjectData[Region]),"")</f>
        <v>Gulf Coast</v>
      </c>
      <c r="F17" s="37">
        <f>IFERROR(_xlfn.XLOOKUP(B17,ProjectData[Project_ID],ProjectData[Budgeted_Cost]),"")</f>
        <v>8759460.2300000004</v>
      </c>
      <c r="G17" s="37">
        <f>IFERROR(_xlfn.XLOOKUP(B17,ProjectData[Project_ID],ProjectData[Actual_Cost]),"")</f>
        <v>10719628.609999999</v>
      </c>
      <c r="H17" s="37">
        <f>IFERROR(_xlfn.XLOOKUP(B17,ProjectData[Project_ID],ProjectData[Cost_Variance]),"")</f>
        <v>1960168.379999999</v>
      </c>
      <c r="I17" s="34">
        <f>IFERROR(_xlfn.XLOOKUP(B17,ProjectData[Project_ID],ProjectData[Cost_Variance_Pct]),"")</f>
        <v>22.38</v>
      </c>
    </row>
    <row r="18" spans="2:9" ht="30" customHeight="1" thickBot="1" x14ac:dyDescent="0.3">
      <c r="B18" s="26" t="str">
        <f>IFERROR(_xlfn.XLOOKUP(LARGE(ProjectData[Cost_Variance],ROW()-13),ProjectData[Cost_Variance],ProjectData[Project_ID]),"")</f>
        <v>OG-1019</v>
      </c>
      <c r="C18" s="27" t="str">
        <f>IFERROR(_xlfn.XLOOKUP(B18,ProjectData[Project_ID],ProjectData[Project_Name]),"")</f>
        <v>Eagle Ford Facility Upgrade 20</v>
      </c>
      <c r="D18" s="27" t="str">
        <f>IFERROR(_xlfn.XLOOKUP(B18,ProjectData[Project_ID],ProjectData[Project_Type]),"")</f>
        <v>Facility Upgrade</v>
      </c>
      <c r="E18" s="28" t="str">
        <f>IFERROR(_xlfn.XLOOKUP(B18,ProjectData[Project_ID],ProjectData[Region]),"")</f>
        <v>Eagle Ford</v>
      </c>
      <c r="F18" s="29">
        <f>IFERROR(_xlfn.XLOOKUP(B18,ProjectData[Project_ID],ProjectData[Budgeted_Cost]),"")</f>
        <v>14993310.689999999</v>
      </c>
      <c r="G18" s="29">
        <f>IFERROR(_xlfn.XLOOKUP(B18,ProjectData[Project_ID],ProjectData[Actual_Cost]),"")</f>
        <v>16674251.5</v>
      </c>
      <c r="H18" s="29">
        <f>IFERROR(_xlfn.XLOOKUP(B18,ProjectData[Project_ID],ProjectData[Cost_Variance]),"")</f>
        <v>1680940.8100000005</v>
      </c>
      <c r="I18" s="38">
        <f>IFERROR(_xlfn.XLOOKUP(B18,ProjectData[Project_ID],ProjectData[Cost_Variance_Pct]),"")</f>
        <v>11.21</v>
      </c>
    </row>
  </sheetData>
  <mergeCells count="18">
    <mergeCell ref="B2:I2"/>
    <mergeCell ref="B7:C7"/>
    <mergeCell ref="D7:E7"/>
    <mergeCell ref="F7:G7"/>
    <mergeCell ref="H7:I7"/>
    <mergeCell ref="B6:C6"/>
    <mergeCell ref="D6:E6"/>
    <mergeCell ref="F6:G6"/>
    <mergeCell ref="H6:I6"/>
    <mergeCell ref="H9:I9"/>
    <mergeCell ref="H10:I10"/>
    <mergeCell ref="B12:I12"/>
    <mergeCell ref="B9:C9"/>
    <mergeCell ref="B10:C10"/>
    <mergeCell ref="D9:E9"/>
    <mergeCell ref="D10:E10"/>
    <mergeCell ref="F9:G9"/>
    <mergeCell ref="F10:G10"/>
  </mergeCells>
  <conditionalFormatting sqref="I14:I18">
    <cfRule type="colorScale" priority="1">
      <colorScale>
        <cfvo type="num" val="0"/>
        <cfvo type="num" val="12"/>
        <cfvo type="num" val="25"/>
        <color rgb="FF63BE7B"/>
        <color rgb="FFFCFCFF"/>
        <color rgb="FFF8696B"/>
      </colorScale>
    </cfRule>
  </conditionalFormatting>
  <dataValidations count="1">
    <dataValidation type="list" allowBlank="1" showInputMessage="1" showErrorMessage="1" sqref="C4" xr:uid="{159CDC18-E49C-4173-9C21-2C1B019A82D7}">
      <formula1>"All,Permian Basin,Eagle Ford,Gulf Coast,Midland"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FA79E7-DFD1-4FA1-BBEF-A993DE7D04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Huynh</dc:creator>
  <cp:lastModifiedBy>Preston Huynh</cp:lastModifiedBy>
  <dcterms:created xsi:type="dcterms:W3CDTF">2026-03-12T08:02:37Z</dcterms:created>
  <dcterms:modified xsi:type="dcterms:W3CDTF">2026-03-12T11:34:45Z</dcterms:modified>
</cp:coreProperties>
</file>